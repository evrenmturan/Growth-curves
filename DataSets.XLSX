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1840" windowHeight="10545"/>
  </bookViews>
  <sheets>
    <sheet name="S6" sheetId="1" r:id="rId1"/>
  </sheets>
  <definedNames>
    <definedName name="_xlnm.Print_Area" localSheetId="0">'S6'!$A$1:$C$641</definedName>
    <definedName name="sup_table_6_alldinodatatables" localSheetId="0">'S6'!$B$1:$C$641</definedName>
  </definedNames>
  <calcPr calcId="145621"/>
</workbook>
</file>

<file path=xl/calcChain.xml><?xml version="1.0" encoding="utf-8"?>
<calcChain xmlns="http://schemas.openxmlformats.org/spreadsheetml/2006/main">
  <c r="C194" i="1" l="1"/>
  <c r="C192" i="1"/>
  <c r="C193" i="1"/>
  <c r="C189" i="1"/>
  <c r="C190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5" i="1"/>
  <c r="C174" i="1"/>
  <c r="C172" i="1"/>
  <c r="C171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1" i="1"/>
  <c r="C129" i="1"/>
  <c r="C128" i="1"/>
  <c r="C127" i="1"/>
  <c r="C126" i="1"/>
  <c r="C125" i="1"/>
  <c r="C124" i="1"/>
  <c r="C123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3" i="1"/>
  <c r="C102" i="1"/>
  <c r="C101" i="1"/>
  <c r="C100" i="1"/>
  <c r="C99" i="1"/>
  <c r="C98" i="1"/>
  <c r="C96" i="1"/>
  <c r="C95" i="1"/>
  <c r="C94" i="1"/>
  <c r="C92" i="1"/>
</calcChain>
</file>

<file path=xl/connections.xml><?xml version="1.0" encoding="utf-8"?>
<connections xmlns="http://schemas.openxmlformats.org/spreadsheetml/2006/main">
  <connection id="1" name="sup table 6 alldinodatatables" type="6" refreshedVersion="4" background="1" saveData="1">
    <textPr codePage="437" sourceFile="\\file.na.corp.intven.com\user$\dfreeman\Nathan M\Revisiting the estimation of dinosaur growth rates\sup table 6 alldinodatatables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<sst xmlns="http://schemas.openxmlformats.org/spreadsheetml/2006/main" count="33" uniqueCount="33">
  <si>
    <t>Age</t>
  </si>
  <si>
    <t>Bone Dimension</t>
  </si>
  <si>
    <r>
      <t xml:space="preserve">Tyrannosaurus </t>
    </r>
    <r>
      <rPr>
        <sz val="10"/>
        <color theme="1"/>
        <rFont val="Arial"/>
        <family val="2"/>
      </rPr>
      <t>1</t>
    </r>
  </si>
  <si>
    <r>
      <t xml:space="preserve">Tyrannosaurus </t>
    </r>
    <r>
      <rPr>
        <sz val="10"/>
        <color theme="1"/>
        <rFont val="Arial"/>
        <family val="2"/>
      </rPr>
      <t>2</t>
    </r>
  </si>
  <si>
    <t>Gorgosaurus</t>
  </si>
  <si>
    <t>Albertosaurus</t>
  </si>
  <si>
    <t>Saurornitholestes</t>
  </si>
  <si>
    <t>Syntarsus</t>
  </si>
  <si>
    <r>
      <t xml:space="preserve">Allosaurus </t>
    </r>
    <r>
      <rPr>
        <sz val="10"/>
        <color theme="1"/>
        <rFont val="Arial"/>
        <family val="2"/>
      </rPr>
      <t>fc1</t>
    </r>
  </si>
  <si>
    <r>
      <t xml:space="preserve">Allosaurus </t>
    </r>
    <r>
      <rPr>
        <sz val="10"/>
        <color theme="1"/>
        <rFont val="Arial"/>
        <family val="2"/>
      </rPr>
      <t>fc2</t>
    </r>
  </si>
  <si>
    <r>
      <t xml:space="preserve">Allosaurus </t>
    </r>
    <r>
      <rPr>
        <sz val="10"/>
        <color theme="1"/>
        <rFont val="Arial"/>
        <family val="2"/>
      </rPr>
      <t>fc3</t>
    </r>
  </si>
  <si>
    <r>
      <t xml:space="preserve">Allosaurus </t>
    </r>
    <r>
      <rPr>
        <sz val="10"/>
        <color theme="1"/>
        <rFont val="Arial"/>
        <family val="2"/>
      </rPr>
      <t>fc4</t>
    </r>
  </si>
  <si>
    <r>
      <t xml:space="preserve">Allosaurus </t>
    </r>
    <r>
      <rPr>
        <sz val="10"/>
        <color theme="1"/>
        <rFont val="Arial"/>
        <family val="2"/>
      </rPr>
      <t>hc1</t>
    </r>
  </si>
  <si>
    <r>
      <t xml:space="preserve">Allosaurus </t>
    </r>
    <r>
      <rPr>
        <sz val="10"/>
        <color theme="1"/>
        <rFont val="Arial"/>
        <family val="2"/>
      </rPr>
      <t>hc2</t>
    </r>
  </si>
  <si>
    <r>
      <t xml:space="preserve">Allosaurus </t>
    </r>
    <r>
      <rPr>
        <sz val="10"/>
        <color theme="1"/>
        <rFont val="Arial"/>
        <family val="2"/>
      </rPr>
      <t>uc1</t>
    </r>
  </si>
  <si>
    <r>
      <t xml:space="preserve">Allosaurus </t>
    </r>
    <r>
      <rPr>
        <sz val="10"/>
        <color theme="1"/>
        <rFont val="Arial"/>
        <family val="2"/>
      </rPr>
      <t>uc2</t>
    </r>
  </si>
  <si>
    <r>
      <t xml:space="preserve">Allosaurus </t>
    </r>
    <r>
      <rPr>
        <sz val="10"/>
        <color theme="1"/>
        <rFont val="Arial"/>
        <family val="2"/>
      </rPr>
      <t>hl</t>
    </r>
  </si>
  <si>
    <r>
      <t xml:space="preserve">Allosaurus </t>
    </r>
    <r>
      <rPr>
        <sz val="10"/>
        <color theme="1"/>
        <rFont val="Arial"/>
        <family val="2"/>
      </rPr>
      <t>ul</t>
    </r>
  </si>
  <si>
    <r>
      <t xml:space="preserve">Allosaurus </t>
    </r>
    <r>
      <rPr>
        <sz val="10"/>
        <color theme="1"/>
        <rFont val="Arial"/>
        <family val="2"/>
      </rPr>
      <t>fl</t>
    </r>
  </si>
  <si>
    <r>
      <t xml:space="preserve">Allosaurus </t>
    </r>
    <r>
      <rPr>
        <sz val="10"/>
        <color theme="1"/>
        <rFont val="Arial"/>
        <family val="2"/>
      </rPr>
      <t>tc1</t>
    </r>
  </si>
  <si>
    <r>
      <t xml:space="preserve">Allosaurus </t>
    </r>
    <r>
      <rPr>
        <sz val="10"/>
        <color theme="1"/>
        <rFont val="Arial"/>
        <family val="2"/>
      </rPr>
      <t>tc2</t>
    </r>
  </si>
  <si>
    <r>
      <t>Psittacosaurus m</t>
    </r>
    <r>
      <rPr>
        <sz val="10"/>
        <color theme="1"/>
        <rFont val="Arial"/>
        <family val="2"/>
      </rPr>
      <t>1</t>
    </r>
  </si>
  <si>
    <r>
      <t>Psittacosaurus l</t>
    </r>
    <r>
      <rPr>
        <sz val="10"/>
        <color theme="1"/>
        <rFont val="Arial"/>
        <family val="2"/>
      </rPr>
      <t>1</t>
    </r>
  </si>
  <si>
    <r>
      <t>Psittacosaurus l</t>
    </r>
    <r>
      <rPr>
        <sz val="10"/>
        <color theme="1"/>
        <rFont val="Arial"/>
        <family val="2"/>
      </rPr>
      <t>2</t>
    </r>
  </si>
  <si>
    <r>
      <t>Psittacosaurus l</t>
    </r>
    <r>
      <rPr>
        <sz val="10"/>
        <color theme="1"/>
        <rFont val="Arial"/>
        <family val="2"/>
      </rPr>
      <t>3</t>
    </r>
  </si>
  <si>
    <r>
      <t>Psittacosaurus l</t>
    </r>
    <r>
      <rPr>
        <sz val="10"/>
        <color theme="1"/>
        <rFont val="Arial"/>
        <family val="2"/>
      </rPr>
      <t>4</t>
    </r>
  </si>
  <si>
    <r>
      <t xml:space="preserve">Hypacrosaurus </t>
    </r>
    <r>
      <rPr>
        <sz val="10"/>
        <color theme="1"/>
        <rFont val="Arial"/>
        <family val="2"/>
      </rPr>
      <t>fc</t>
    </r>
  </si>
  <si>
    <r>
      <t xml:space="preserve">Hypacrosaurus </t>
    </r>
    <r>
      <rPr>
        <sz val="10"/>
        <color theme="1"/>
        <rFont val="Arial"/>
        <family val="2"/>
      </rPr>
      <t>tc</t>
    </r>
  </si>
  <si>
    <t>Apatosaurus</t>
  </si>
  <si>
    <t>Alamosaurus</t>
  </si>
  <si>
    <t>Northampton</t>
  </si>
  <si>
    <t>Janenschia</t>
  </si>
  <si>
    <t>Massospondylus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</si>
</sst>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p table 6 alldinodatatabl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641"/>
  <sheetViews>
    <sheetView tabSelected="1" workbookViewId="0">
      <selection activeCell="C641" sqref="C641"/>
    </sheetView>
  </sheetViews>
  <sheetFormatPr defaultRowHeight="12.75" x14ac:dyDescent="0.2"/>
  <cols>
    <col min="1" max="1" width="17.85546875" style="1" bestFit="1" customWidth="1"/>
    <col min="2" max="2" width="5" style="5" bestFit="1" customWidth="1"/>
    <col min="3" max="3" width="16" style="5" bestFit="1" customWidth="1"/>
    <col min="4" max="16384" width="9.140625" style="3"/>
  </cols>
  <sheetData>
    <row r="1" spans="1:3" x14ac:dyDescent="0.2">
      <c r="B1" s="2" t="s">
        <v>0</v>
      </c>
      <c r="C1" s="2" t="s">
        <v>1</v>
      </c>
    </row>
    <row r="2" spans="1:3" x14ac:dyDescent="0.2">
      <c r="A2" s="4" t="s">
        <v>2</v>
      </c>
      <c r="B2" s="5">
        <v>2</v>
      </c>
      <c r="C2" s="5">
        <v>25.2</v>
      </c>
    </row>
    <row r="3" spans="1:3" x14ac:dyDescent="0.2">
      <c r="B3" s="5">
        <v>14</v>
      </c>
      <c r="C3" s="5">
        <v>98.9</v>
      </c>
    </row>
    <row r="4" spans="1:3" x14ac:dyDescent="0.2">
      <c r="B4" s="5">
        <v>15</v>
      </c>
      <c r="C4" s="5">
        <v>98</v>
      </c>
    </row>
    <row r="5" spans="1:3" x14ac:dyDescent="0.2">
      <c r="B5" s="5">
        <v>16</v>
      </c>
      <c r="C5" s="5">
        <v>116.8</v>
      </c>
    </row>
    <row r="6" spans="1:3" x14ac:dyDescent="0.2">
      <c r="B6" s="5">
        <v>18</v>
      </c>
      <c r="C6" s="5">
        <v>120</v>
      </c>
    </row>
    <row r="7" spans="1:3" x14ac:dyDescent="0.2">
      <c r="B7" s="5">
        <v>22</v>
      </c>
      <c r="C7" s="5">
        <v>128.4</v>
      </c>
    </row>
    <row r="8" spans="1:3" x14ac:dyDescent="0.2">
      <c r="B8" s="5">
        <v>28</v>
      </c>
      <c r="C8" s="5">
        <v>134.5</v>
      </c>
    </row>
    <row r="10" spans="1:3" x14ac:dyDescent="0.2">
      <c r="A10" s="1" t="s">
        <v>3</v>
      </c>
      <c r="B10" s="5">
        <v>2</v>
      </c>
      <c r="C10" s="5">
        <v>25.2</v>
      </c>
    </row>
    <row r="11" spans="1:3" x14ac:dyDescent="0.2">
      <c r="B11" s="5">
        <v>12</v>
      </c>
      <c r="C11" s="5">
        <v>78.8</v>
      </c>
    </row>
    <row r="12" spans="1:3" x14ac:dyDescent="0.2">
      <c r="B12" s="5">
        <v>14</v>
      </c>
      <c r="C12" s="5">
        <v>98.9</v>
      </c>
    </row>
    <row r="13" spans="1:3" x14ac:dyDescent="0.2">
      <c r="B13" s="5">
        <v>14</v>
      </c>
      <c r="C13" s="5">
        <v>128</v>
      </c>
    </row>
    <row r="14" spans="1:3" x14ac:dyDescent="0.2">
      <c r="B14" s="5">
        <v>15</v>
      </c>
      <c r="C14" s="5">
        <v>98</v>
      </c>
    </row>
    <row r="15" spans="1:3" x14ac:dyDescent="0.2">
      <c r="B15" s="5">
        <v>16</v>
      </c>
      <c r="C15" s="5">
        <v>116.8</v>
      </c>
    </row>
    <row r="16" spans="1:3" x14ac:dyDescent="0.2">
      <c r="B16" s="5">
        <v>18</v>
      </c>
      <c r="C16" s="5">
        <v>120</v>
      </c>
    </row>
    <row r="17" spans="1:3" x14ac:dyDescent="0.2">
      <c r="B17" s="5">
        <v>22</v>
      </c>
      <c r="C17" s="5">
        <v>128.4</v>
      </c>
    </row>
    <row r="18" spans="1:3" x14ac:dyDescent="0.2">
      <c r="B18" s="5">
        <v>28</v>
      </c>
      <c r="C18" s="5">
        <v>134.5</v>
      </c>
    </row>
    <row r="20" spans="1:3" x14ac:dyDescent="0.2">
      <c r="A20" s="1" t="s">
        <v>4</v>
      </c>
      <c r="B20" s="5">
        <v>5</v>
      </c>
      <c r="C20" s="5">
        <v>44.5</v>
      </c>
    </row>
    <row r="21" spans="1:3" x14ac:dyDescent="0.2">
      <c r="B21" s="5">
        <v>7</v>
      </c>
      <c r="C21" s="5">
        <v>54.2</v>
      </c>
    </row>
    <row r="22" spans="1:3" x14ac:dyDescent="0.2">
      <c r="B22" s="5">
        <v>14</v>
      </c>
      <c r="C22" s="5">
        <v>75</v>
      </c>
    </row>
    <row r="23" spans="1:3" x14ac:dyDescent="0.2">
      <c r="B23" s="5">
        <v>14</v>
      </c>
      <c r="C23" s="5">
        <v>80.400000000000006</v>
      </c>
    </row>
    <row r="24" spans="1:3" x14ac:dyDescent="0.2">
      <c r="B24" s="5">
        <v>18</v>
      </c>
      <c r="C24" s="5">
        <v>91.6</v>
      </c>
    </row>
    <row r="26" spans="1:3" x14ac:dyDescent="0.2">
      <c r="A26" s="1" t="s">
        <v>5</v>
      </c>
      <c r="B26" s="5">
        <v>2</v>
      </c>
      <c r="C26" s="5">
        <v>31.6</v>
      </c>
    </row>
    <row r="27" spans="1:3" x14ac:dyDescent="0.2">
      <c r="B27" s="5">
        <v>15</v>
      </c>
      <c r="C27" s="5">
        <v>78.2</v>
      </c>
    </row>
    <row r="28" spans="1:3" x14ac:dyDescent="0.2">
      <c r="B28" s="5">
        <v>18</v>
      </c>
      <c r="C28" s="5">
        <v>86</v>
      </c>
    </row>
    <row r="29" spans="1:3" x14ac:dyDescent="0.2">
      <c r="B29" s="5">
        <v>22</v>
      </c>
      <c r="C29" s="5">
        <v>99.3</v>
      </c>
    </row>
    <row r="30" spans="1:3" x14ac:dyDescent="0.2">
      <c r="B30" s="5">
        <v>24</v>
      </c>
      <c r="C30" s="5">
        <v>89.5</v>
      </c>
    </row>
    <row r="32" spans="1:3" x14ac:dyDescent="0.2">
      <c r="A32" s="1" t="s">
        <v>6</v>
      </c>
      <c r="B32" s="5">
        <v>2</v>
      </c>
      <c r="C32" s="5">
        <v>30</v>
      </c>
    </row>
    <row r="33" spans="1:3" x14ac:dyDescent="0.2">
      <c r="B33" s="5">
        <v>3</v>
      </c>
      <c r="C33" s="5">
        <v>40</v>
      </c>
    </row>
    <row r="34" spans="1:3" x14ac:dyDescent="0.2">
      <c r="B34" s="5">
        <v>4</v>
      </c>
      <c r="C34" s="5">
        <v>55</v>
      </c>
    </row>
    <row r="35" spans="1:3" x14ac:dyDescent="0.2">
      <c r="B35" s="5">
        <v>5</v>
      </c>
      <c r="C35" s="5">
        <v>69</v>
      </c>
    </row>
    <row r="36" spans="1:3" x14ac:dyDescent="0.2">
      <c r="B36" s="5">
        <v>6</v>
      </c>
      <c r="C36" s="5">
        <v>72</v>
      </c>
    </row>
    <row r="37" spans="1:3" x14ac:dyDescent="0.2">
      <c r="B37" s="5">
        <v>7</v>
      </c>
      <c r="C37" s="5">
        <v>81</v>
      </c>
    </row>
    <row r="38" spans="1:3" x14ac:dyDescent="0.2">
      <c r="B38" s="5">
        <v>10</v>
      </c>
      <c r="C38" s="5">
        <v>82</v>
      </c>
    </row>
    <row r="39" spans="1:3" x14ac:dyDescent="0.2">
      <c r="B39" s="5">
        <v>15</v>
      </c>
      <c r="C39" s="5">
        <v>88</v>
      </c>
    </row>
    <row r="40" spans="1:3" x14ac:dyDescent="0.2">
      <c r="B40" s="5">
        <v>19</v>
      </c>
      <c r="C40" s="5">
        <v>92</v>
      </c>
    </row>
    <row r="42" spans="1:3" x14ac:dyDescent="0.2">
      <c r="A42" s="1" t="s">
        <v>7</v>
      </c>
      <c r="B42" s="5">
        <v>2</v>
      </c>
      <c r="C42" s="5">
        <v>12.2</v>
      </c>
    </row>
    <row r="43" spans="1:3" x14ac:dyDescent="0.2">
      <c r="B43" s="5">
        <v>3</v>
      </c>
      <c r="C43" s="5">
        <v>13.3</v>
      </c>
    </row>
    <row r="44" spans="1:3" x14ac:dyDescent="0.2">
      <c r="B44" s="5">
        <v>3</v>
      </c>
      <c r="C44" s="5">
        <v>15.2</v>
      </c>
    </row>
    <row r="45" spans="1:3" x14ac:dyDescent="0.2">
      <c r="B45" s="5">
        <v>4</v>
      </c>
      <c r="C45" s="5">
        <v>16</v>
      </c>
    </row>
    <row r="46" spans="1:3" x14ac:dyDescent="0.2">
      <c r="B46" s="5">
        <v>5</v>
      </c>
      <c r="C46" s="5">
        <v>18.899999999999999</v>
      </c>
    </row>
    <row r="47" spans="1:3" x14ac:dyDescent="0.2">
      <c r="B47" s="5">
        <v>5</v>
      </c>
      <c r="C47" s="5">
        <v>18.899999999999999</v>
      </c>
    </row>
    <row r="48" spans="1:3" x14ac:dyDescent="0.2">
      <c r="B48" s="5">
        <v>5</v>
      </c>
      <c r="C48" s="5">
        <v>19</v>
      </c>
    </row>
    <row r="49" spans="1:3" x14ac:dyDescent="0.2">
      <c r="B49" s="5">
        <v>6</v>
      </c>
      <c r="C49" s="5">
        <v>19.3</v>
      </c>
    </row>
    <row r="50" spans="1:3" x14ac:dyDescent="0.2">
      <c r="B50" s="5">
        <v>6</v>
      </c>
      <c r="C50" s="5">
        <v>19.5</v>
      </c>
    </row>
    <row r="51" spans="1:3" x14ac:dyDescent="0.2">
      <c r="B51" s="5">
        <v>6</v>
      </c>
      <c r="C51" s="5">
        <v>20.6</v>
      </c>
    </row>
    <row r="53" spans="1:3" x14ac:dyDescent="0.2">
      <c r="A53" s="1" t="s">
        <v>8</v>
      </c>
      <c r="B53" s="5">
        <v>4</v>
      </c>
      <c r="C53" s="5">
        <v>10.4</v>
      </c>
    </row>
    <row r="54" spans="1:3" x14ac:dyDescent="0.2">
      <c r="B54" s="5">
        <v>4</v>
      </c>
      <c r="C54" s="5">
        <v>11</v>
      </c>
    </row>
    <row r="55" spans="1:3" x14ac:dyDescent="0.2">
      <c r="B55" s="5">
        <v>5</v>
      </c>
      <c r="C55" s="5">
        <v>11.2</v>
      </c>
    </row>
    <row r="56" spans="1:3" x14ac:dyDescent="0.2">
      <c r="B56" s="5">
        <v>5</v>
      </c>
      <c r="C56" s="5">
        <v>11.3</v>
      </c>
    </row>
    <row r="57" spans="1:3" x14ac:dyDescent="0.2">
      <c r="B57" s="5">
        <v>5</v>
      </c>
      <c r="C57" s="5">
        <v>13.8</v>
      </c>
    </row>
    <row r="58" spans="1:3" x14ac:dyDescent="0.2">
      <c r="B58" s="5">
        <v>6</v>
      </c>
      <c r="C58" s="5">
        <v>11.9</v>
      </c>
    </row>
    <row r="59" spans="1:3" x14ac:dyDescent="0.2">
      <c r="B59" s="5">
        <v>6</v>
      </c>
      <c r="C59" s="5">
        <v>12</v>
      </c>
    </row>
    <row r="60" spans="1:3" x14ac:dyDescent="0.2">
      <c r="B60" s="5">
        <v>6</v>
      </c>
      <c r="C60" s="5">
        <v>13</v>
      </c>
    </row>
    <row r="61" spans="1:3" x14ac:dyDescent="0.2">
      <c r="B61" s="5">
        <v>6</v>
      </c>
      <c r="C61" s="5">
        <v>13.5</v>
      </c>
    </row>
    <row r="62" spans="1:3" x14ac:dyDescent="0.2">
      <c r="B62" s="5">
        <v>6</v>
      </c>
      <c r="C62" s="5">
        <v>14.4</v>
      </c>
    </row>
    <row r="63" spans="1:3" x14ac:dyDescent="0.2">
      <c r="B63" s="5">
        <v>7</v>
      </c>
      <c r="C63" s="5">
        <v>12.5</v>
      </c>
    </row>
    <row r="64" spans="1:3" x14ac:dyDescent="0.2">
      <c r="B64" s="5">
        <v>7</v>
      </c>
      <c r="C64" s="5">
        <v>12.6</v>
      </c>
    </row>
    <row r="65" spans="2:3" x14ac:dyDescent="0.2">
      <c r="B65" s="5">
        <v>7</v>
      </c>
      <c r="C65" s="5">
        <v>14.6</v>
      </c>
    </row>
    <row r="66" spans="2:3" x14ac:dyDescent="0.2">
      <c r="B66" s="5">
        <v>7</v>
      </c>
      <c r="C66" s="5">
        <v>15.2</v>
      </c>
    </row>
    <row r="67" spans="2:3" x14ac:dyDescent="0.2">
      <c r="B67" s="5">
        <v>7</v>
      </c>
      <c r="C67" s="5">
        <v>15.8</v>
      </c>
    </row>
    <row r="68" spans="2:3" x14ac:dyDescent="0.2">
      <c r="B68" s="5">
        <v>8</v>
      </c>
      <c r="C68" s="5">
        <v>13.4</v>
      </c>
    </row>
    <row r="69" spans="2:3" x14ac:dyDescent="0.2">
      <c r="B69" s="5">
        <v>8</v>
      </c>
      <c r="C69" s="5">
        <v>15.3</v>
      </c>
    </row>
    <row r="70" spans="2:3" x14ac:dyDescent="0.2">
      <c r="B70" s="5">
        <v>8</v>
      </c>
      <c r="C70" s="5">
        <v>16.3</v>
      </c>
    </row>
    <row r="71" spans="2:3" x14ac:dyDescent="0.2">
      <c r="B71" s="5">
        <v>8</v>
      </c>
      <c r="C71" s="5">
        <v>17.100000000000001</v>
      </c>
    </row>
    <row r="72" spans="2:3" x14ac:dyDescent="0.2">
      <c r="B72" s="5">
        <v>9</v>
      </c>
      <c r="C72" s="5">
        <v>14.3</v>
      </c>
    </row>
    <row r="73" spans="2:3" x14ac:dyDescent="0.2">
      <c r="B73" s="5">
        <v>9</v>
      </c>
      <c r="C73" s="5">
        <v>17.2</v>
      </c>
    </row>
    <row r="74" spans="2:3" x14ac:dyDescent="0.2">
      <c r="B74" s="5">
        <v>9</v>
      </c>
      <c r="C74" s="5">
        <v>18.2</v>
      </c>
    </row>
    <row r="75" spans="2:3" x14ac:dyDescent="0.2">
      <c r="B75" s="5">
        <v>9</v>
      </c>
      <c r="C75" s="5">
        <v>20.2</v>
      </c>
    </row>
    <row r="76" spans="2:3" x14ac:dyDescent="0.2">
      <c r="B76" s="5">
        <v>10</v>
      </c>
      <c r="C76" s="5">
        <v>15.3</v>
      </c>
    </row>
    <row r="77" spans="2:3" x14ac:dyDescent="0.2">
      <c r="B77" s="5">
        <v>10</v>
      </c>
      <c r="C77" s="5">
        <v>20.9</v>
      </c>
    </row>
    <row r="78" spans="2:3" x14ac:dyDescent="0.2">
      <c r="B78" s="5">
        <v>10</v>
      </c>
      <c r="C78" s="5">
        <v>23.5</v>
      </c>
    </row>
    <row r="79" spans="2:3" x14ac:dyDescent="0.2">
      <c r="B79" s="5">
        <v>10</v>
      </c>
      <c r="C79" s="5">
        <v>26</v>
      </c>
    </row>
    <row r="80" spans="2:3" x14ac:dyDescent="0.2">
      <c r="B80" s="5">
        <v>11</v>
      </c>
      <c r="C80" s="5">
        <v>15.8</v>
      </c>
    </row>
    <row r="81" spans="1:3" x14ac:dyDescent="0.2">
      <c r="B81" s="5">
        <v>11</v>
      </c>
      <c r="C81" s="5">
        <v>26.2</v>
      </c>
    </row>
    <row r="82" spans="1:3" x14ac:dyDescent="0.2">
      <c r="B82" s="5">
        <v>11</v>
      </c>
      <c r="C82" s="5">
        <v>26.5</v>
      </c>
    </row>
    <row r="83" spans="1:3" x14ac:dyDescent="0.2">
      <c r="B83" s="5">
        <v>12</v>
      </c>
      <c r="C83" s="5">
        <v>16.2</v>
      </c>
    </row>
    <row r="84" spans="1:3" x14ac:dyDescent="0.2">
      <c r="B84" s="5">
        <v>12</v>
      </c>
      <c r="C84" s="5">
        <v>27.4</v>
      </c>
    </row>
    <row r="85" spans="1:3" x14ac:dyDescent="0.2">
      <c r="B85" s="5">
        <v>12</v>
      </c>
      <c r="C85" s="5">
        <v>27.9</v>
      </c>
    </row>
    <row r="86" spans="1:3" x14ac:dyDescent="0.2">
      <c r="B86" s="5">
        <v>13</v>
      </c>
      <c r="C86" s="5">
        <v>16.5</v>
      </c>
    </row>
    <row r="87" spans="1:3" x14ac:dyDescent="0.2">
      <c r="B87" s="5">
        <v>13</v>
      </c>
      <c r="C87" s="5">
        <v>28.6</v>
      </c>
    </row>
    <row r="88" spans="1:3" x14ac:dyDescent="0.2">
      <c r="B88" s="5">
        <v>13</v>
      </c>
      <c r="C88" s="5">
        <v>33.5</v>
      </c>
    </row>
    <row r="89" spans="1:3" x14ac:dyDescent="0.2">
      <c r="B89" s="5">
        <v>14</v>
      </c>
      <c r="C89" s="5">
        <v>19</v>
      </c>
    </row>
    <row r="90" spans="1:3" x14ac:dyDescent="0.2">
      <c r="B90" s="5">
        <v>14</v>
      </c>
      <c r="C90" s="5">
        <v>33.799999999999997</v>
      </c>
    </row>
    <row r="92" spans="1:3" x14ac:dyDescent="0.2">
      <c r="A92" s="1" t="s">
        <v>9</v>
      </c>
      <c r="B92" s="5">
        <v>4</v>
      </c>
      <c r="C92" s="5">
        <f>52/5</f>
        <v>10.4</v>
      </c>
    </row>
    <row r="93" spans="1:3" x14ac:dyDescent="0.2">
      <c r="B93" s="6">
        <v>4.22817460436635</v>
      </c>
      <c r="C93" s="5">
        <v>11</v>
      </c>
    </row>
    <row r="94" spans="1:3" x14ac:dyDescent="0.2">
      <c r="B94" s="5">
        <v>5</v>
      </c>
      <c r="C94" s="5">
        <f>56/5</f>
        <v>11.2</v>
      </c>
    </row>
    <row r="95" spans="1:3" x14ac:dyDescent="0.2">
      <c r="B95" s="6">
        <v>5.22817460436635</v>
      </c>
      <c r="C95" s="5">
        <f>113/10</f>
        <v>11.3</v>
      </c>
    </row>
    <row r="96" spans="1:3" x14ac:dyDescent="0.2">
      <c r="B96" s="5">
        <v>6</v>
      </c>
      <c r="C96" s="5">
        <f>119/10</f>
        <v>11.9</v>
      </c>
    </row>
    <row r="97" spans="2:3" x14ac:dyDescent="0.2">
      <c r="B97" s="6">
        <v>6.22817460436635</v>
      </c>
      <c r="C97" s="5">
        <v>12</v>
      </c>
    </row>
    <row r="98" spans="2:3" x14ac:dyDescent="0.2">
      <c r="B98" s="5">
        <v>7</v>
      </c>
      <c r="C98" s="5">
        <f>63/5</f>
        <v>12.6</v>
      </c>
    </row>
    <row r="99" spans="2:3" x14ac:dyDescent="0.2">
      <c r="B99" s="6">
        <v>7.22817460436635</v>
      </c>
      <c r="C99" s="5">
        <f>25/2</f>
        <v>12.5</v>
      </c>
    </row>
    <row r="100" spans="2:3" x14ac:dyDescent="0.2">
      <c r="B100" s="5">
        <v>8</v>
      </c>
      <c r="C100" s="5">
        <f>67/5</f>
        <v>13.4</v>
      </c>
    </row>
    <row r="101" spans="2:3" x14ac:dyDescent="0.2">
      <c r="B101" s="6">
        <v>8.2883023404497091</v>
      </c>
      <c r="C101" s="5">
        <f>69/5</f>
        <v>13.8</v>
      </c>
    </row>
    <row r="102" spans="2:3" x14ac:dyDescent="0.2">
      <c r="B102" s="5">
        <v>9</v>
      </c>
      <c r="C102" s="5">
        <f>143/10</f>
        <v>14.3</v>
      </c>
    </row>
    <row r="103" spans="2:3" x14ac:dyDescent="0.2">
      <c r="B103" s="6">
        <v>9.2883023404497091</v>
      </c>
      <c r="C103" s="5">
        <f>72/5</f>
        <v>14.4</v>
      </c>
    </row>
    <row r="104" spans="2:3" x14ac:dyDescent="0.2">
      <c r="B104" s="6">
        <v>9.5669640955147699</v>
      </c>
      <c r="C104" s="5">
        <v>13</v>
      </c>
    </row>
    <row r="105" spans="2:3" x14ac:dyDescent="0.2">
      <c r="B105" s="6">
        <v>9.6286052916689098</v>
      </c>
      <c r="C105" s="5">
        <f>27/2</f>
        <v>13.5</v>
      </c>
    </row>
    <row r="106" spans="2:3" x14ac:dyDescent="0.2">
      <c r="B106" s="5">
        <v>10</v>
      </c>
      <c r="C106" s="5">
        <f>153/10</f>
        <v>15.3</v>
      </c>
    </row>
    <row r="107" spans="2:3" x14ac:dyDescent="0.2">
      <c r="B107" s="6">
        <v>10.2883023404497</v>
      </c>
      <c r="C107" s="5">
        <f>73/5</f>
        <v>14.6</v>
      </c>
    </row>
    <row r="108" spans="2:3" x14ac:dyDescent="0.2">
      <c r="B108" s="6">
        <v>10.566964095514701</v>
      </c>
      <c r="C108" s="5">
        <f>79/5</f>
        <v>15.8</v>
      </c>
    </row>
    <row r="109" spans="2:3" x14ac:dyDescent="0.2">
      <c r="B109" s="6">
        <v>10.628605291668899</v>
      </c>
      <c r="C109" s="5">
        <f>76/5</f>
        <v>15.2</v>
      </c>
    </row>
    <row r="110" spans="2:3" x14ac:dyDescent="0.2">
      <c r="B110" s="5">
        <v>11</v>
      </c>
      <c r="C110" s="5">
        <f>79/5</f>
        <v>15.8</v>
      </c>
    </row>
    <row r="111" spans="2:3" x14ac:dyDescent="0.2">
      <c r="B111" s="6">
        <v>11.2883023404497</v>
      </c>
      <c r="C111" s="5">
        <f>153/10</f>
        <v>15.3</v>
      </c>
    </row>
    <row r="112" spans="2:3" x14ac:dyDescent="0.2">
      <c r="B112" s="6">
        <v>11.566964095514701</v>
      </c>
      <c r="C112" s="5">
        <f>171/10</f>
        <v>17.100000000000001</v>
      </c>
    </row>
    <row r="113" spans="2:3" x14ac:dyDescent="0.2">
      <c r="B113" s="6">
        <v>11.628605291668899</v>
      </c>
      <c r="C113" s="5">
        <f>163/10</f>
        <v>16.3</v>
      </c>
    </row>
    <row r="114" spans="2:3" x14ac:dyDescent="0.2">
      <c r="B114" s="5">
        <v>12</v>
      </c>
      <c r="C114" s="5">
        <f>81/5</f>
        <v>16.2</v>
      </c>
    </row>
    <row r="115" spans="2:3" x14ac:dyDescent="0.2">
      <c r="B115" s="6">
        <v>12.548797765531599</v>
      </c>
      <c r="C115" s="5">
        <f>86/5</f>
        <v>17.2</v>
      </c>
    </row>
    <row r="116" spans="2:3" x14ac:dyDescent="0.2">
      <c r="B116" s="6">
        <v>12.566964095514701</v>
      </c>
      <c r="C116" s="5">
        <f>91/5</f>
        <v>18.2</v>
      </c>
    </row>
    <row r="117" spans="2:3" x14ac:dyDescent="0.2">
      <c r="B117" s="6">
        <v>12.628605291668899</v>
      </c>
      <c r="C117" s="5">
        <f>101/5</f>
        <v>20.2</v>
      </c>
    </row>
    <row r="118" spans="2:3" x14ac:dyDescent="0.2">
      <c r="B118" s="5">
        <v>13</v>
      </c>
      <c r="C118" s="5">
        <f>33/2</f>
        <v>16.5</v>
      </c>
    </row>
    <row r="119" spans="2:3" x14ac:dyDescent="0.2">
      <c r="B119" s="6">
        <v>13.548797765531599</v>
      </c>
      <c r="C119" s="5">
        <f>47/2</f>
        <v>23.5</v>
      </c>
    </row>
    <row r="120" spans="2:3" x14ac:dyDescent="0.2">
      <c r="B120" s="6">
        <v>13.566964095514701</v>
      </c>
      <c r="C120" s="5">
        <f>209/10</f>
        <v>20.9</v>
      </c>
    </row>
    <row r="121" spans="2:3" x14ac:dyDescent="0.2">
      <c r="B121" s="6">
        <v>13.628605291668899</v>
      </c>
      <c r="C121" s="5">
        <v>26</v>
      </c>
    </row>
    <row r="122" spans="2:3" x14ac:dyDescent="0.2">
      <c r="B122" s="5">
        <v>14</v>
      </c>
      <c r="C122" s="5">
        <v>19</v>
      </c>
    </row>
    <row r="123" spans="2:3" x14ac:dyDescent="0.2">
      <c r="B123" s="6">
        <v>14.548797765531599</v>
      </c>
      <c r="C123" s="5">
        <f>53/2</f>
        <v>26.5</v>
      </c>
    </row>
    <row r="124" spans="2:3" x14ac:dyDescent="0.2">
      <c r="B124" s="6">
        <v>14.628605291668899</v>
      </c>
      <c r="C124" s="5">
        <f>131/5</f>
        <v>26.2</v>
      </c>
    </row>
    <row r="125" spans="2:3" x14ac:dyDescent="0.2">
      <c r="B125" s="6">
        <v>15.548797765531599</v>
      </c>
      <c r="C125" s="5">
        <f>137/5</f>
        <v>27.4</v>
      </c>
    </row>
    <row r="126" spans="2:3" x14ac:dyDescent="0.2">
      <c r="B126" s="6">
        <v>15.628605291668899</v>
      </c>
      <c r="C126" s="5">
        <f>279/10</f>
        <v>27.9</v>
      </c>
    </row>
    <row r="127" spans="2:3" x14ac:dyDescent="0.2">
      <c r="B127" s="6">
        <v>16.548797765531599</v>
      </c>
      <c r="C127" s="5">
        <f>67/2</f>
        <v>33.5</v>
      </c>
    </row>
    <row r="128" spans="2:3" x14ac:dyDescent="0.2">
      <c r="B128" s="6">
        <v>16.628605291668901</v>
      </c>
      <c r="C128" s="5">
        <f>143/5</f>
        <v>28.6</v>
      </c>
    </row>
    <row r="129" spans="1:3" x14ac:dyDescent="0.2">
      <c r="B129" s="6">
        <v>17.548797765531599</v>
      </c>
      <c r="C129" s="5">
        <f>169/5</f>
        <v>33.799999999999997</v>
      </c>
    </row>
    <row r="131" spans="1:3" x14ac:dyDescent="0.2">
      <c r="A131" s="1" t="s">
        <v>10</v>
      </c>
      <c r="B131" s="5">
        <v>4</v>
      </c>
      <c r="C131" s="5">
        <f>52/5</f>
        <v>10.4</v>
      </c>
    </row>
    <row r="132" spans="1:3" x14ac:dyDescent="0.2">
      <c r="B132" s="6">
        <v>4.2281746032720902</v>
      </c>
      <c r="C132" s="5">
        <v>11</v>
      </c>
    </row>
    <row r="133" spans="1:3" x14ac:dyDescent="0.2">
      <c r="B133" s="5">
        <v>5</v>
      </c>
      <c r="C133" s="5">
        <f>56/5</f>
        <v>11.2</v>
      </c>
    </row>
    <row r="134" spans="1:3" x14ac:dyDescent="0.2">
      <c r="B134" s="6">
        <v>5.2281746032720902</v>
      </c>
      <c r="C134" s="5">
        <f>113/10</f>
        <v>11.3</v>
      </c>
    </row>
    <row r="135" spans="1:3" x14ac:dyDescent="0.2">
      <c r="B135" s="5">
        <v>6</v>
      </c>
      <c r="C135" s="5">
        <f>119/10</f>
        <v>11.9</v>
      </c>
    </row>
    <row r="136" spans="1:3" x14ac:dyDescent="0.2">
      <c r="B136" s="6">
        <v>6.2281746032720902</v>
      </c>
      <c r="C136" s="5">
        <f>12</f>
        <v>12</v>
      </c>
    </row>
    <row r="137" spans="1:3" x14ac:dyDescent="0.2">
      <c r="B137" s="5">
        <v>7</v>
      </c>
      <c r="C137" s="5">
        <f>63/5</f>
        <v>12.6</v>
      </c>
    </row>
    <row r="138" spans="1:3" x14ac:dyDescent="0.2">
      <c r="B138" s="6">
        <v>7.2281746032720902</v>
      </c>
      <c r="C138" s="5">
        <f>25/2</f>
        <v>12.5</v>
      </c>
    </row>
    <row r="139" spans="1:3" x14ac:dyDescent="0.2">
      <c r="B139" s="6">
        <v>7.8022222221689699</v>
      </c>
      <c r="C139" s="5">
        <f>69/5</f>
        <v>13.8</v>
      </c>
    </row>
    <row r="140" spans="1:3" x14ac:dyDescent="0.2">
      <c r="B140" s="5">
        <v>8</v>
      </c>
      <c r="C140" s="5">
        <f>67/5</f>
        <v>13.4</v>
      </c>
    </row>
    <row r="141" spans="1:3" x14ac:dyDescent="0.2">
      <c r="B141" s="6">
        <v>8.8022222221689699</v>
      </c>
      <c r="C141" s="5">
        <f>72/5</f>
        <v>14.4</v>
      </c>
    </row>
    <row r="142" spans="1:3" x14ac:dyDescent="0.2">
      <c r="B142" s="5">
        <v>9</v>
      </c>
      <c r="C142" s="5">
        <f>143/10</f>
        <v>14.3</v>
      </c>
    </row>
    <row r="143" spans="1:3" x14ac:dyDescent="0.2">
      <c r="B143" s="6">
        <v>9.8022222221689699</v>
      </c>
      <c r="C143" s="5">
        <f>73/5</f>
        <v>14.6</v>
      </c>
    </row>
    <row r="144" spans="1:3" x14ac:dyDescent="0.2">
      <c r="B144" s="5">
        <v>10</v>
      </c>
      <c r="C144" s="5">
        <f>153/10</f>
        <v>15.3</v>
      </c>
    </row>
    <row r="145" spans="1:3" x14ac:dyDescent="0.2">
      <c r="B145" s="6">
        <v>10.802222222168901</v>
      </c>
      <c r="C145" s="5">
        <f>153/10</f>
        <v>15.3</v>
      </c>
    </row>
    <row r="146" spans="1:3" x14ac:dyDescent="0.2">
      <c r="B146" s="5">
        <v>11</v>
      </c>
      <c r="C146" s="5">
        <f>79/5</f>
        <v>15.8</v>
      </c>
    </row>
    <row r="147" spans="1:3" x14ac:dyDescent="0.2">
      <c r="B147" s="5">
        <v>12</v>
      </c>
      <c r="C147" s="5">
        <f>81/5</f>
        <v>16.2</v>
      </c>
    </row>
    <row r="148" spans="1:3" x14ac:dyDescent="0.2">
      <c r="B148" s="5">
        <v>13</v>
      </c>
      <c r="C148" s="5">
        <f>33/2</f>
        <v>16.5</v>
      </c>
    </row>
    <row r="149" spans="1:3" x14ac:dyDescent="0.2">
      <c r="B149" s="5">
        <v>14</v>
      </c>
      <c r="C149" s="5">
        <v>19</v>
      </c>
    </row>
    <row r="151" spans="1:3" x14ac:dyDescent="0.2">
      <c r="A151" s="1" t="s">
        <v>11</v>
      </c>
      <c r="B151" s="5">
        <v>4</v>
      </c>
      <c r="C151" s="5">
        <v>13</v>
      </c>
    </row>
    <row r="152" spans="1:3" x14ac:dyDescent="0.2">
      <c r="B152" s="6">
        <v>4.0913452461817297</v>
      </c>
      <c r="C152" s="5">
        <f>27/2</f>
        <v>13.5</v>
      </c>
    </row>
    <row r="153" spans="1:3" x14ac:dyDescent="0.2">
      <c r="B153" s="5">
        <v>5</v>
      </c>
      <c r="C153" s="5">
        <f>79/5</f>
        <v>15.8</v>
      </c>
    </row>
    <row r="154" spans="1:3" x14ac:dyDescent="0.2">
      <c r="B154" s="6">
        <v>5.0913452461817297</v>
      </c>
      <c r="C154" s="5">
        <f>76/5</f>
        <v>15.2</v>
      </c>
    </row>
    <row r="155" spans="1:3" x14ac:dyDescent="0.2">
      <c r="B155" s="5">
        <v>6</v>
      </c>
      <c r="C155" s="5">
        <f>171/10</f>
        <v>17.100000000000001</v>
      </c>
    </row>
    <row r="156" spans="1:3" x14ac:dyDescent="0.2">
      <c r="B156" s="6">
        <v>6.0913452461817297</v>
      </c>
      <c r="C156" s="5">
        <f>163/10</f>
        <v>16.3</v>
      </c>
    </row>
    <row r="157" spans="1:3" x14ac:dyDescent="0.2">
      <c r="B157" s="6">
        <v>6.8446625333325501</v>
      </c>
      <c r="C157" s="5">
        <f>86/5</f>
        <v>17.2</v>
      </c>
    </row>
    <row r="158" spans="1:3" x14ac:dyDescent="0.2">
      <c r="B158" s="5">
        <v>7</v>
      </c>
      <c r="C158" s="5">
        <f>91/5</f>
        <v>18.2</v>
      </c>
    </row>
    <row r="159" spans="1:3" x14ac:dyDescent="0.2">
      <c r="B159" s="6">
        <v>7.0913452461817297</v>
      </c>
      <c r="C159" s="5">
        <f>101/5</f>
        <v>20.2</v>
      </c>
    </row>
    <row r="160" spans="1:3" x14ac:dyDescent="0.2">
      <c r="B160" s="6">
        <v>7.8446625333325501</v>
      </c>
      <c r="C160" s="5">
        <f>47/2</f>
        <v>23.5</v>
      </c>
    </row>
    <row r="161" spans="1:3" x14ac:dyDescent="0.2">
      <c r="B161" s="5">
        <v>8</v>
      </c>
      <c r="C161" s="5">
        <f>209/10</f>
        <v>20.9</v>
      </c>
    </row>
    <row r="162" spans="1:3" x14ac:dyDescent="0.2">
      <c r="B162" s="6">
        <v>8.0913452461817297</v>
      </c>
      <c r="C162" s="5">
        <f>26</f>
        <v>26</v>
      </c>
    </row>
    <row r="163" spans="1:3" x14ac:dyDescent="0.2">
      <c r="B163" s="6">
        <v>8.8446625333325493</v>
      </c>
      <c r="C163" s="5">
        <f>53/2</f>
        <v>26.5</v>
      </c>
    </row>
    <row r="164" spans="1:3" x14ac:dyDescent="0.2">
      <c r="B164" s="6">
        <v>9.0913452461817297</v>
      </c>
      <c r="C164" s="5">
        <f>131/5</f>
        <v>26.2</v>
      </c>
    </row>
    <row r="165" spans="1:3" x14ac:dyDescent="0.2">
      <c r="B165" s="6">
        <v>9.8446625333325493</v>
      </c>
      <c r="C165" s="5">
        <f>137/5</f>
        <v>27.4</v>
      </c>
    </row>
    <row r="166" spans="1:3" x14ac:dyDescent="0.2">
      <c r="B166" s="6">
        <v>10.091345246181699</v>
      </c>
      <c r="C166" s="5">
        <f>279/10</f>
        <v>27.9</v>
      </c>
    </row>
    <row r="167" spans="1:3" x14ac:dyDescent="0.2">
      <c r="B167" s="6">
        <v>10.8446625333325</v>
      </c>
      <c r="C167" s="5">
        <f>67/2</f>
        <v>33.5</v>
      </c>
    </row>
    <row r="168" spans="1:3" x14ac:dyDescent="0.2">
      <c r="B168" s="6">
        <v>11.091345246181699</v>
      </c>
      <c r="C168" s="5">
        <f>143/5</f>
        <v>28.6</v>
      </c>
    </row>
    <row r="169" spans="1:3" x14ac:dyDescent="0.2">
      <c r="B169" s="6">
        <v>11.8446625333325</v>
      </c>
      <c r="C169" s="5">
        <f>169/5</f>
        <v>33.799999999999997</v>
      </c>
    </row>
    <row r="171" spans="1:3" x14ac:dyDescent="0.2">
      <c r="A171" s="1" t="s">
        <v>12</v>
      </c>
      <c r="B171" s="5">
        <v>3</v>
      </c>
      <c r="C171" s="5">
        <f>14/5</f>
        <v>2.8</v>
      </c>
    </row>
    <row r="172" spans="1:3" x14ac:dyDescent="0.2">
      <c r="B172" s="5">
        <v>4</v>
      </c>
      <c r="C172" s="5">
        <f>22/5</f>
        <v>4.4000000000000004</v>
      </c>
    </row>
    <row r="173" spans="1:3" x14ac:dyDescent="0.2">
      <c r="B173" s="5">
        <v>4</v>
      </c>
      <c r="C173" s="5">
        <v>5</v>
      </c>
    </row>
    <row r="174" spans="1:3" x14ac:dyDescent="0.2">
      <c r="B174" s="5">
        <v>5</v>
      </c>
      <c r="C174" s="5">
        <f>51/10</f>
        <v>5.0999999999999996</v>
      </c>
    </row>
    <row r="175" spans="1:3" x14ac:dyDescent="0.2">
      <c r="B175" s="5">
        <v>5</v>
      </c>
      <c r="C175" s="5">
        <f>59/10</f>
        <v>5.9</v>
      </c>
    </row>
    <row r="176" spans="1:3" x14ac:dyDescent="0.2">
      <c r="B176" s="5">
        <v>5</v>
      </c>
      <c r="C176" s="5">
        <v>6</v>
      </c>
    </row>
    <row r="177" spans="2:3" x14ac:dyDescent="0.2">
      <c r="B177" s="5">
        <v>6</v>
      </c>
      <c r="C177" s="5">
        <f>31/5</f>
        <v>6.2</v>
      </c>
    </row>
    <row r="178" spans="2:3" x14ac:dyDescent="0.2">
      <c r="B178" s="5">
        <v>6</v>
      </c>
      <c r="C178" s="5">
        <f>31/5</f>
        <v>6.2</v>
      </c>
    </row>
    <row r="179" spans="2:3" x14ac:dyDescent="0.2">
      <c r="B179" s="5">
        <v>7</v>
      </c>
      <c r="C179" s="5">
        <f>32/5</f>
        <v>6.4</v>
      </c>
    </row>
    <row r="180" spans="2:3" x14ac:dyDescent="0.2">
      <c r="B180" s="5">
        <v>7</v>
      </c>
      <c r="C180" s="5">
        <f>34/5</f>
        <v>6.8</v>
      </c>
    </row>
    <row r="181" spans="2:3" x14ac:dyDescent="0.2">
      <c r="B181" s="5">
        <v>8</v>
      </c>
      <c r="C181" s="5">
        <f>7</f>
        <v>7</v>
      </c>
    </row>
    <row r="182" spans="2:3" x14ac:dyDescent="0.2">
      <c r="B182" s="5">
        <v>8</v>
      </c>
      <c r="C182" s="5">
        <f>36/5</f>
        <v>7.2</v>
      </c>
    </row>
    <row r="183" spans="2:3" x14ac:dyDescent="0.2">
      <c r="B183" s="5">
        <v>9</v>
      </c>
      <c r="C183" s="5">
        <f>77/10</f>
        <v>7.7</v>
      </c>
    </row>
    <row r="184" spans="2:3" x14ac:dyDescent="0.2">
      <c r="B184" s="5">
        <v>9</v>
      </c>
      <c r="C184" s="5">
        <f>77/10</f>
        <v>7.7</v>
      </c>
    </row>
    <row r="185" spans="2:3" x14ac:dyDescent="0.2">
      <c r="B185" s="5">
        <v>10</v>
      </c>
      <c r="C185" s="5">
        <f>77/10</f>
        <v>7.7</v>
      </c>
    </row>
    <row r="186" spans="2:3" x14ac:dyDescent="0.2">
      <c r="B186" s="5">
        <v>10</v>
      </c>
      <c r="C186" s="5">
        <f>77/10</f>
        <v>7.7</v>
      </c>
    </row>
    <row r="187" spans="2:3" x14ac:dyDescent="0.2">
      <c r="B187" s="5">
        <v>11</v>
      </c>
      <c r="C187" s="5">
        <f>44/5</f>
        <v>8.8000000000000007</v>
      </c>
    </row>
    <row r="188" spans="2:3" x14ac:dyDescent="0.2">
      <c r="B188" s="5">
        <v>11</v>
      </c>
      <c r="C188" s="5">
        <f>44/5</f>
        <v>8.8000000000000007</v>
      </c>
    </row>
    <row r="189" spans="2:3" x14ac:dyDescent="0.2">
      <c r="B189" s="5">
        <v>12</v>
      </c>
      <c r="C189" s="5">
        <f>93/10</f>
        <v>9.3000000000000007</v>
      </c>
    </row>
    <row r="190" spans="2:3" x14ac:dyDescent="0.2">
      <c r="B190" s="5">
        <v>12</v>
      </c>
      <c r="C190" s="5">
        <f>49/5</f>
        <v>9.8000000000000007</v>
      </c>
    </row>
    <row r="191" spans="2:3" x14ac:dyDescent="0.2">
      <c r="B191" s="5">
        <v>12</v>
      </c>
      <c r="C191" s="5">
        <v>11</v>
      </c>
    </row>
    <row r="192" spans="2:3" x14ac:dyDescent="0.2">
      <c r="B192" s="5">
        <v>13</v>
      </c>
      <c r="C192" s="5">
        <f>97/10</f>
        <v>9.6999999999999993</v>
      </c>
    </row>
    <row r="193" spans="1:3" x14ac:dyDescent="0.2">
      <c r="B193" s="5">
        <v>13</v>
      </c>
      <c r="C193" s="5">
        <f>12</f>
        <v>12</v>
      </c>
    </row>
    <row r="194" spans="1:3" x14ac:dyDescent="0.2">
      <c r="B194" s="5">
        <v>13</v>
      </c>
      <c r="C194" s="5">
        <f>131/10</f>
        <v>13.1</v>
      </c>
    </row>
    <row r="195" spans="1:3" x14ac:dyDescent="0.2">
      <c r="B195" s="5">
        <v>14</v>
      </c>
      <c r="C195" s="5">
        <v>12.6</v>
      </c>
    </row>
    <row r="196" spans="1:3" x14ac:dyDescent="0.2">
      <c r="B196" s="5">
        <v>14</v>
      </c>
      <c r="C196" s="5">
        <v>13.1</v>
      </c>
    </row>
    <row r="197" spans="1:3" x14ac:dyDescent="0.2">
      <c r="B197" s="5">
        <v>14</v>
      </c>
      <c r="C197" s="5">
        <v>13.4</v>
      </c>
    </row>
    <row r="198" spans="1:3" x14ac:dyDescent="0.2">
      <c r="B198" s="5">
        <v>15</v>
      </c>
      <c r="C198" s="5">
        <v>13.8</v>
      </c>
    </row>
    <row r="199" spans="1:3" x14ac:dyDescent="0.2">
      <c r="B199" s="5">
        <v>15</v>
      </c>
      <c r="C199" s="5">
        <v>14.4</v>
      </c>
    </row>
    <row r="200" spans="1:3" x14ac:dyDescent="0.2">
      <c r="B200" s="5">
        <v>16</v>
      </c>
      <c r="C200" s="5">
        <v>14.6</v>
      </c>
    </row>
    <row r="201" spans="1:3" x14ac:dyDescent="0.2">
      <c r="B201" s="5">
        <v>16</v>
      </c>
      <c r="C201" s="5">
        <v>14.9</v>
      </c>
    </row>
    <row r="202" spans="1:3" x14ac:dyDescent="0.2">
      <c r="B202" s="5">
        <v>17</v>
      </c>
      <c r="C202" s="5">
        <v>15.4</v>
      </c>
    </row>
    <row r="203" spans="1:3" x14ac:dyDescent="0.2">
      <c r="B203" s="5">
        <v>18</v>
      </c>
      <c r="C203" s="5">
        <v>16.899999999999999</v>
      </c>
    </row>
    <row r="204" spans="1:3" x14ac:dyDescent="0.2">
      <c r="B204" s="5">
        <v>19</v>
      </c>
      <c r="C204" s="5">
        <v>17.5</v>
      </c>
    </row>
    <row r="205" spans="1:3" x14ac:dyDescent="0.2">
      <c r="B205" s="5">
        <v>20</v>
      </c>
      <c r="C205" s="5">
        <v>17.8</v>
      </c>
    </row>
    <row r="207" spans="1:3" x14ac:dyDescent="0.2">
      <c r="A207" s="1" t="s">
        <v>13</v>
      </c>
      <c r="B207" s="5">
        <v>3</v>
      </c>
      <c r="C207" s="5">
        <v>2.8</v>
      </c>
    </row>
    <row r="208" spans="1:3" x14ac:dyDescent="0.2">
      <c r="B208" s="5">
        <v>4</v>
      </c>
      <c r="C208" s="5">
        <v>4.4000000000000004</v>
      </c>
    </row>
    <row r="209" spans="2:3" x14ac:dyDescent="0.2">
      <c r="B209" s="6">
        <v>4.8730158584294898</v>
      </c>
      <c r="C209" s="5">
        <v>5</v>
      </c>
    </row>
    <row r="210" spans="2:3" x14ac:dyDescent="0.2">
      <c r="B210" s="5">
        <v>5</v>
      </c>
      <c r="C210" s="5">
        <v>5.0999999999999996</v>
      </c>
    </row>
    <row r="211" spans="2:3" x14ac:dyDescent="0.2">
      <c r="B211" s="6">
        <v>5.8730158584294898</v>
      </c>
      <c r="C211" s="5">
        <v>5.9</v>
      </c>
    </row>
    <row r="212" spans="2:3" x14ac:dyDescent="0.2">
      <c r="B212" s="6">
        <v>6.2063491732443996</v>
      </c>
      <c r="C212" s="5">
        <v>6</v>
      </c>
    </row>
    <row r="213" spans="2:3" x14ac:dyDescent="0.2">
      <c r="B213" s="6">
        <v>6.8730158584294898</v>
      </c>
      <c r="C213" s="5">
        <v>6.2</v>
      </c>
    </row>
    <row r="214" spans="2:3" x14ac:dyDescent="0.2">
      <c r="B214" s="6">
        <v>7.2063491732443996</v>
      </c>
      <c r="C214" s="5">
        <v>6.2</v>
      </c>
    </row>
    <row r="215" spans="2:3" x14ac:dyDescent="0.2">
      <c r="B215" s="6">
        <v>7.8730158584294898</v>
      </c>
      <c r="C215" s="5">
        <v>6.4</v>
      </c>
    </row>
    <row r="216" spans="2:3" x14ac:dyDescent="0.2">
      <c r="B216" s="6">
        <v>8.2063491732443996</v>
      </c>
      <c r="C216" s="5">
        <v>6.8</v>
      </c>
    </row>
    <row r="217" spans="2:3" x14ac:dyDescent="0.2">
      <c r="B217" s="6">
        <v>9.2063491732443996</v>
      </c>
      <c r="C217" s="5">
        <v>7.2</v>
      </c>
    </row>
    <row r="218" spans="2:3" x14ac:dyDescent="0.2">
      <c r="B218" s="6">
        <v>9.7955907889202596</v>
      </c>
      <c r="C218" s="5">
        <v>7</v>
      </c>
    </row>
    <row r="219" spans="2:3" x14ac:dyDescent="0.2">
      <c r="B219" s="6">
        <v>10.2063491732444</v>
      </c>
      <c r="C219" s="5">
        <v>7.7</v>
      </c>
    </row>
    <row r="220" spans="2:3" x14ac:dyDescent="0.2">
      <c r="B220" s="6">
        <v>10.795590788920199</v>
      </c>
      <c r="C220" s="5">
        <v>7.7</v>
      </c>
    </row>
    <row r="221" spans="2:3" x14ac:dyDescent="0.2">
      <c r="B221" s="6">
        <v>11.2063491732444</v>
      </c>
      <c r="C221" s="5">
        <v>8.4</v>
      </c>
    </row>
    <row r="222" spans="2:3" x14ac:dyDescent="0.2">
      <c r="B222" s="6">
        <v>11.795590788920199</v>
      </c>
      <c r="C222" s="5">
        <v>8.6</v>
      </c>
    </row>
    <row r="223" spans="2:3" x14ac:dyDescent="0.2">
      <c r="B223" s="6">
        <v>12.2063491732444</v>
      </c>
      <c r="C223" s="5">
        <v>8.8000000000000007</v>
      </c>
    </row>
    <row r="224" spans="2:3" x14ac:dyDescent="0.2">
      <c r="B224" s="6">
        <v>12.795590788920199</v>
      </c>
      <c r="C224" s="5">
        <v>9.5</v>
      </c>
    </row>
    <row r="225" spans="2:3" x14ac:dyDescent="0.2">
      <c r="B225" s="6">
        <v>13.2063491732444</v>
      </c>
      <c r="C225" s="5">
        <v>9.3000000000000007</v>
      </c>
    </row>
    <row r="226" spans="2:3" x14ac:dyDescent="0.2">
      <c r="B226" s="6">
        <v>13.795590788920199</v>
      </c>
      <c r="C226" s="5">
        <v>11</v>
      </c>
    </row>
    <row r="227" spans="2:3" x14ac:dyDescent="0.2">
      <c r="B227" s="6">
        <v>13.875893823641899</v>
      </c>
      <c r="C227" s="5">
        <v>9.8000000000000007</v>
      </c>
    </row>
    <row r="228" spans="2:3" x14ac:dyDescent="0.2">
      <c r="B228" s="6">
        <v>14.2063491732444</v>
      </c>
      <c r="C228" s="5">
        <v>9.6999999999999993</v>
      </c>
    </row>
    <row r="229" spans="2:3" x14ac:dyDescent="0.2">
      <c r="B229" s="6">
        <v>14.795590788920199</v>
      </c>
      <c r="C229" s="5">
        <v>12</v>
      </c>
    </row>
    <row r="230" spans="2:3" x14ac:dyDescent="0.2">
      <c r="B230" s="6">
        <v>14.875893823641899</v>
      </c>
      <c r="C230" s="5">
        <v>13.1</v>
      </c>
    </row>
    <row r="231" spans="2:3" x14ac:dyDescent="0.2">
      <c r="B231" s="6">
        <v>15.795590788920199</v>
      </c>
      <c r="C231" s="5">
        <v>12.6</v>
      </c>
    </row>
    <row r="232" spans="2:3" x14ac:dyDescent="0.2">
      <c r="B232" s="6">
        <v>15.875893823641899</v>
      </c>
      <c r="C232" s="5">
        <v>13.4</v>
      </c>
    </row>
    <row r="233" spans="2:3" x14ac:dyDescent="0.2">
      <c r="B233" s="6">
        <v>15.9920476710899</v>
      </c>
      <c r="C233" s="5">
        <v>13.1</v>
      </c>
    </row>
    <row r="234" spans="2:3" x14ac:dyDescent="0.2">
      <c r="B234" s="6">
        <v>16.875893823641899</v>
      </c>
      <c r="C234" s="5">
        <v>13.8</v>
      </c>
    </row>
    <row r="235" spans="2:3" x14ac:dyDescent="0.2">
      <c r="B235" s="6">
        <v>16.9920476710899</v>
      </c>
      <c r="C235" s="5">
        <v>14.4</v>
      </c>
    </row>
    <row r="236" spans="2:3" x14ac:dyDescent="0.2">
      <c r="B236" s="6">
        <v>17.875893823641899</v>
      </c>
      <c r="C236" s="5">
        <v>14.6</v>
      </c>
    </row>
    <row r="237" spans="2:3" x14ac:dyDescent="0.2">
      <c r="B237" s="6">
        <v>17.9920476710899</v>
      </c>
      <c r="C237" s="5">
        <v>14.9</v>
      </c>
    </row>
    <row r="238" spans="2:3" x14ac:dyDescent="0.2">
      <c r="B238" s="6">
        <v>18.9920476710899</v>
      </c>
      <c r="C238" s="5">
        <v>15.4</v>
      </c>
    </row>
    <row r="239" spans="2:3" x14ac:dyDescent="0.2">
      <c r="B239" s="6">
        <v>19.9920476710899</v>
      </c>
      <c r="C239" s="5">
        <v>16.899999999999999</v>
      </c>
    </row>
    <row r="240" spans="2:3" x14ac:dyDescent="0.2">
      <c r="B240" s="6">
        <v>20.9920476710899</v>
      </c>
      <c r="C240" s="5">
        <v>17.5</v>
      </c>
    </row>
    <row r="241" spans="1:3" x14ac:dyDescent="0.2">
      <c r="B241" s="6">
        <v>21.9920476710899</v>
      </c>
      <c r="C241" s="5">
        <v>17.8</v>
      </c>
    </row>
    <row r="243" spans="1:3" x14ac:dyDescent="0.2">
      <c r="A243" s="1" t="s">
        <v>14</v>
      </c>
      <c r="B243" s="5">
        <v>1</v>
      </c>
      <c r="C243" s="5">
        <v>1.3</v>
      </c>
    </row>
    <row r="244" spans="1:3" x14ac:dyDescent="0.2">
      <c r="B244" s="5">
        <v>2</v>
      </c>
      <c r="C244" s="5">
        <v>1.6</v>
      </c>
    </row>
    <row r="245" spans="1:3" x14ac:dyDescent="0.2">
      <c r="B245" s="5">
        <v>2</v>
      </c>
      <c r="C245" s="5">
        <v>2.1</v>
      </c>
    </row>
    <row r="246" spans="1:3" x14ac:dyDescent="0.2">
      <c r="B246" s="5">
        <v>3</v>
      </c>
      <c r="C246" s="5">
        <v>3</v>
      </c>
    </row>
    <row r="247" spans="1:3" x14ac:dyDescent="0.2">
      <c r="B247" s="5">
        <v>3</v>
      </c>
      <c r="C247" s="5">
        <v>3.1</v>
      </c>
    </row>
    <row r="248" spans="1:3" x14ac:dyDescent="0.2">
      <c r="B248" s="5">
        <v>3</v>
      </c>
      <c r="C248" s="5">
        <v>3.2</v>
      </c>
    </row>
    <row r="249" spans="1:3" x14ac:dyDescent="0.2">
      <c r="B249" s="5">
        <v>4</v>
      </c>
      <c r="C249" s="5">
        <v>3.5</v>
      </c>
    </row>
    <row r="250" spans="1:3" x14ac:dyDescent="0.2">
      <c r="B250" s="5">
        <v>4</v>
      </c>
      <c r="C250" s="5">
        <v>3.9</v>
      </c>
    </row>
    <row r="251" spans="1:3" x14ac:dyDescent="0.2">
      <c r="B251" s="5">
        <v>4</v>
      </c>
      <c r="C251" s="5">
        <v>4</v>
      </c>
    </row>
    <row r="252" spans="1:3" x14ac:dyDescent="0.2">
      <c r="B252" s="5">
        <v>5</v>
      </c>
      <c r="C252" s="5">
        <v>4.2</v>
      </c>
    </row>
    <row r="253" spans="1:3" x14ac:dyDescent="0.2">
      <c r="B253" s="5">
        <v>5</v>
      </c>
      <c r="C253" s="5">
        <v>4.2</v>
      </c>
    </row>
    <row r="254" spans="1:3" x14ac:dyDescent="0.2">
      <c r="B254" s="5">
        <v>5</v>
      </c>
      <c r="C254" s="5">
        <v>4.3</v>
      </c>
    </row>
    <row r="255" spans="1:3" x14ac:dyDescent="0.2">
      <c r="B255" s="5">
        <v>6</v>
      </c>
      <c r="C255" s="5">
        <v>4.8</v>
      </c>
    </row>
    <row r="256" spans="1:3" x14ac:dyDescent="0.2">
      <c r="B256" s="5">
        <v>6</v>
      </c>
      <c r="C256" s="5">
        <v>5.0999999999999996</v>
      </c>
    </row>
    <row r="257" spans="2:3" x14ac:dyDescent="0.2">
      <c r="B257" s="5">
        <v>6</v>
      </c>
      <c r="C257" s="5">
        <v>5.3</v>
      </c>
    </row>
    <row r="258" spans="2:3" x14ac:dyDescent="0.2">
      <c r="B258" s="5">
        <v>7</v>
      </c>
      <c r="C258" s="5">
        <v>5.4</v>
      </c>
    </row>
    <row r="259" spans="2:3" x14ac:dyDescent="0.2">
      <c r="B259" s="5">
        <v>7</v>
      </c>
      <c r="C259" s="5">
        <v>5.7</v>
      </c>
    </row>
    <row r="260" spans="2:3" x14ac:dyDescent="0.2">
      <c r="B260" s="5">
        <v>8</v>
      </c>
      <c r="C260" s="5">
        <v>5.9</v>
      </c>
    </row>
    <row r="261" spans="2:3" x14ac:dyDescent="0.2">
      <c r="B261" s="5">
        <v>8</v>
      </c>
      <c r="C261" s="5">
        <v>6.4</v>
      </c>
    </row>
    <row r="262" spans="2:3" x14ac:dyDescent="0.2">
      <c r="B262" s="5">
        <v>9</v>
      </c>
      <c r="C262" s="5">
        <v>6.4</v>
      </c>
    </row>
    <row r="263" spans="2:3" x14ac:dyDescent="0.2">
      <c r="B263" s="5">
        <v>10</v>
      </c>
      <c r="C263" s="5">
        <v>7.1</v>
      </c>
    </row>
    <row r="264" spans="2:3" x14ac:dyDescent="0.2">
      <c r="B264" s="5">
        <v>11</v>
      </c>
      <c r="C264" s="5">
        <v>7.6</v>
      </c>
    </row>
    <row r="265" spans="2:3" x14ac:dyDescent="0.2">
      <c r="B265" s="5">
        <v>11</v>
      </c>
      <c r="C265" s="5">
        <v>7.9</v>
      </c>
    </row>
    <row r="266" spans="2:3" x14ac:dyDescent="0.2">
      <c r="B266" s="5">
        <v>12</v>
      </c>
      <c r="C266" s="5">
        <v>8.6999999999999993</v>
      </c>
    </row>
    <row r="267" spans="2:3" x14ac:dyDescent="0.2">
      <c r="B267" s="5">
        <v>12</v>
      </c>
      <c r="C267" s="5">
        <v>8.6999999999999993</v>
      </c>
    </row>
    <row r="268" spans="2:3" x14ac:dyDescent="0.2">
      <c r="B268" s="5">
        <v>13</v>
      </c>
      <c r="C268" s="5">
        <v>9.8000000000000007</v>
      </c>
    </row>
    <row r="269" spans="2:3" x14ac:dyDescent="0.2">
      <c r="B269" s="5">
        <v>14</v>
      </c>
      <c r="C269" s="5">
        <v>11.2</v>
      </c>
    </row>
    <row r="270" spans="2:3" x14ac:dyDescent="0.2">
      <c r="B270" s="5">
        <v>15</v>
      </c>
      <c r="C270" s="5">
        <v>11.8</v>
      </c>
    </row>
    <row r="271" spans="2:3" x14ac:dyDescent="0.2">
      <c r="B271" s="5">
        <v>16</v>
      </c>
      <c r="C271" s="5">
        <v>12</v>
      </c>
    </row>
    <row r="272" spans="2:3" x14ac:dyDescent="0.2">
      <c r="B272" s="5">
        <v>17</v>
      </c>
      <c r="C272" s="5">
        <v>12.5</v>
      </c>
    </row>
    <row r="274" spans="1:3" x14ac:dyDescent="0.2">
      <c r="A274" s="1" t="s">
        <v>15</v>
      </c>
      <c r="B274" s="5">
        <v>1</v>
      </c>
      <c r="C274" s="5">
        <v>1.3</v>
      </c>
    </row>
    <row r="275" spans="1:3" x14ac:dyDescent="0.2">
      <c r="B275" s="5">
        <v>2</v>
      </c>
      <c r="C275" s="5">
        <v>1.6</v>
      </c>
    </row>
    <row r="276" spans="1:3" x14ac:dyDescent="0.2">
      <c r="B276" s="6">
        <v>2.1668982150515199</v>
      </c>
      <c r="C276" s="5">
        <v>2.1</v>
      </c>
    </row>
    <row r="277" spans="1:3" x14ac:dyDescent="0.2">
      <c r="B277" s="5">
        <v>3</v>
      </c>
      <c r="C277" s="5">
        <v>3.1</v>
      </c>
    </row>
    <row r="278" spans="1:3" x14ac:dyDescent="0.2">
      <c r="B278" s="6">
        <v>3.1668982150515199</v>
      </c>
      <c r="C278" s="5">
        <v>3.2</v>
      </c>
    </row>
    <row r="279" spans="1:3" x14ac:dyDescent="0.2">
      <c r="B279" s="6">
        <v>3.2185868247055098</v>
      </c>
      <c r="C279" s="5">
        <v>3</v>
      </c>
    </row>
    <row r="280" spans="1:3" x14ac:dyDescent="0.2">
      <c r="B280" s="5">
        <v>4</v>
      </c>
      <c r="C280" s="5">
        <v>3.5</v>
      </c>
    </row>
    <row r="281" spans="1:3" x14ac:dyDescent="0.2">
      <c r="B281" s="6">
        <v>4.1668982150515204</v>
      </c>
      <c r="C281" s="5">
        <v>4</v>
      </c>
    </row>
    <row r="282" spans="1:3" x14ac:dyDescent="0.2">
      <c r="B282" s="6">
        <v>4.2185868247055103</v>
      </c>
      <c r="C282" s="5">
        <v>3.9</v>
      </c>
    </row>
    <row r="283" spans="1:3" x14ac:dyDescent="0.2">
      <c r="B283" s="6">
        <v>4.8665112330786098</v>
      </c>
      <c r="C283" s="5">
        <v>4.2</v>
      </c>
    </row>
    <row r="284" spans="1:3" x14ac:dyDescent="0.2">
      <c r="B284" s="6">
        <v>5.1668982150515204</v>
      </c>
      <c r="C284" s="5">
        <v>4.2</v>
      </c>
    </row>
    <row r="285" spans="1:3" x14ac:dyDescent="0.2">
      <c r="B285" s="6">
        <v>5.2185868247055103</v>
      </c>
      <c r="C285" s="5">
        <v>4.3</v>
      </c>
    </row>
    <row r="286" spans="1:3" x14ac:dyDescent="0.2">
      <c r="B286" s="6">
        <v>5.8665112330786098</v>
      </c>
      <c r="C286" s="5">
        <v>5.0999999999999996</v>
      </c>
    </row>
    <row r="287" spans="1:3" x14ac:dyDescent="0.2">
      <c r="B287" s="6">
        <v>6.1668982150515204</v>
      </c>
      <c r="C287" s="5">
        <v>4.8</v>
      </c>
    </row>
    <row r="288" spans="1:3" x14ac:dyDescent="0.2">
      <c r="B288" s="6">
        <v>6.2185868247055103</v>
      </c>
      <c r="C288" s="5">
        <v>5.3</v>
      </c>
    </row>
    <row r="289" spans="2:3" x14ac:dyDescent="0.2">
      <c r="B289" s="6">
        <v>6.8665112330786098</v>
      </c>
      <c r="C289" s="5">
        <v>5.4</v>
      </c>
    </row>
    <row r="290" spans="2:3" x14ac:dyDescent="0.2">
      <c r="B290" s="6">
        <v>7.2185868247055103</v>
      </c>
      <c r="C290" s="5">
        <v>5.7</v>
      </c>
    </row>
    <row r="291" spans="2:3" x14ac:dyDescent="0.2">
      <c r="B291" s="6">
        <v>7.8665112330786098</v>
      </c>
      <c r="C291" s="5">
        <v>5.9</v>
      </c>
    </row>
    <row r="292" spans="2:3" x14ac:dyDescent="0.2">
      <c r="B292" s="6">
        <v>8.2185868247055094</v>
      </c>
      <c r="C292" s="5">
        <v>6.4</v>
      </c>
    </row>
    <row r="293" spans="2:3" x14ac:dyDescent="0.2">
      <c r="B293" s="6">
        <v>8.8665112330786098</v>
      </c>
      <c r="C293" s="5">
        <v>6.4</v>
      </c>
    </row>
    <row r="294" spans="2:3" x14ac:dyDescent="0.2">
      <c r="B294" s="6">
        <v>9.8665112330786098</v>
      </c>
      <c r="C294" s="5">
        <v>7.1</v>
      </c>
    </row>
    <row r="295" spans="2:3" x14ac:dyDescent="0.2">
      <c r="B295" s="6">
        <v>10.650602139161499</v>
      </c>
      <c r="C295" s="5">
        <v>7.6</v>
      </c>
    </row>
    <row r="296" spans="2:3" x14ac:dyDescent="0.2">
      <c r="B296" s="6">
        <v>10.866511233078599</v>
      </c>
      <c r="C296" s="5">
        <v>7.9</v>
      </c>
    </row>
    <row r="297" spans="2:3" x14ac:dyDescent="0.2">
      <c r="B297" s="6">
        <v>11.650602139161499</v>
      </c>
      <c r="C297" s="5">
        <v>8.6999999999999993</v>
      </c>
    </row>
    <row r="298" spans="2:3" x14ac:dyDescent="0.2">
      <c r="B298" s="6">
        <v>11.866511233078599</v>
      </c>
      <c r="C298" s="5">
        <v>8.6999999999999993</v>
      </c>
    </row>
    <row r="299" spans="2:3" x14ac:dyDescent="0.2">
      <c r="B299" s="6">
        <v>12.650602139161499</v>
      </c>
      <c r="C299" s="5">
        <v>9.8000000000000007</v>
      </c>
    </row>
    <row r="300" spans="2:3" x14ac:dyDescent="0.2">
      <c r="B300" s="6">
        <v>13.650602139161499</v>
      </c>
      <c r="C300" s="5">
        <v>11.2</v>
      </c>
    </row>
    <row r="301" spans="2:3" x14ac:dyDescent="0.2">
      <c r="B301" s="6">
        <v>14.650602139161499</v>
      </c>
      <c r="C301" s="5">
        <v>11.8</v>
      </c>
    </row>
    <row r="302" spans="2:3" x14ac:dyDescent="0.2">
      <c r="B302" s="6">
        <v>15.650602139161499</v>
      </c>
      <c r="C302" s="5">
        <v>12</v>
      </c>
    </row>
    <row r="303" spans="2:3" x14ac:dyDescent="0.2">
      <c r="B303" s="6">
        <v>16.650602139161599</v>
      </c>
      <c r="C303" s="5">
        <v>12.5</v>
      </c>
    </row>
    <row r="305" spans="1:3" x14ac:dyDescent="0.2">
      <c r="A305" s="1" t="s">
        <v>16</v>
      </c>
      <c r="B305" s="5">
        <v>4</v>
      </c>
      <c r="C305" s="5">
        <v>15</v>
      </c>
    </row>
    <row r="306" spans="1:3" x14ac:dyDescent="0.2">
      <c r="B306" s="5">
        <v>6</v>
      </c>
      <c r="C306" s="5">
        <v>18.399999999999999</v>
      </c>
    </row>
    <row r="307" spans="1:3" x14ac:dyDescent="0.2">
      <c r="B307" s="5">
        <v>12</v>
      </c>
      <c r="C307" s="5">
        <v>25.5</v>
      </c>
    </row>
    <row r="308" spans="1:3" x14ac:dyDescent="0.2">
      <c r="B308" s="5">
        <v>13</v>
      </c>
      <c r="C308" s="5">
        <v>27.2</v>
      </c>
    </row>
    <row r="309" spans="1:3" x14ac:dyDescent="0.2">
      <c r="B309" s="5">
        <v>15</v>
      </c>
      <c r="C309" s="5">
        <v>33.6</v>
      </c>
    </row>
    <row r="310" spans="1:3" x14ac:dyDescent="0.2">
      <c r="B310" s="5">
        <v>19</v>
      </c>
      <c r="C310" s="5">
        <v>38.700000000000003</v>
      </c>
    </row>
    <row r="312" spans="1:3" x14ac:dyDescent="0.2">
      <c r="A312" s="1" t="s">
        <v>17</v>
      </c>
      <c r="B312" s="5">
        <v>3</v>
      </c>
      <c r="C312" s="5">
        <v>11.1</v>
      </c>
    </row>
    <row r="313" spans="1:3" x14ac:dyDescent="0.2">
      <c r="B313" s="5">
        <v>5</v>
      </c>
      <c r="C313" s="5">
        <v>14.1</v>
      </c>
    </row>
    <row r="314" spans="1:3" x14ac:dyDescent="0.2">
      <c r="B314" s="5">
        <v>7</v>
      </c>
      <c r="C314" s="5">
        <v>13.5</v>
      </c>
    </row>
    <row r="315" spans="1:3" x14ac:dyDescent="0.2">
      <c r="B315" s="5">
        <v>11</v>
      </c>
      <c r="C315" s="5">
        <v>17.2</v>
      </c>
    </row>
    <row r="316" spans="1:3" x14ac:dyDescent="0.2">
      <c r="B316" s="5">
        <v>16</v>
      </c>
      <c r="C316" s="5">
        <v>24.5</v>
      </c>
    </row>
    <row r="318" spans="1:3" x14ac:dyDescent="0.2">
      <c r="A318" s="1" t="s">
        <v>18</v>
      </c>
      <c r="B318" s="5">
        <v>6</v>
      </c>
      <c r="C318" s="5">
        <v>37</v>
      </c>
    </row>
    <row r="319" spans="1:3" x14ac:dyDescent="0.2">
      <c r="B319" s="5">
        <v>7</v>
      </c>
      <c r="C319" s="5">
        <v>46.8</v>
      </c>
    </row>
    <row r="320" spans="1:3" x14ac:dyDescent="0.2">
      <c r="B320" s="5">
        <v>9</v>
      </c>
      <c r="C320" s="5">
        <v>55.8</v>
      </c>
    </row>
    <row r="321" spans="1:3" x14ac:dyDescent="0.2">
      <c r="B321" s="5">
        <v>12</v>
      </c>
      <c r="C321" s="5">
        <v>65.599999999999994</v>
      </c>
    </row>
    <row r="322" spans="1:3" x14ac:dyDescent="0.2">
      <c r="B322" s="5">
        <v>13</v>
      </c>
      <c r="C322" s="5">
        <v>48.5</v>
      </c>
    </row>
    <row r="323" spans="1:3" x14ac:dyDescent="0.2">
      <c r="B323" s="5">
        <v>13</v>
      </c>
      <c r="C323" s="5">
        <v>87.2</v>
      </c>
    </row>
    <row r="325" spans="1:3" x14ac:dyDescent="0.2">
      <c r="A325" s="1" t="s">
        <v>19</v>
      </c>
      <c r="B325" s="5">
        <v>6</v>
      </c>
      <c r="C325" s="5">
        <v>9</v>
      </c>
    </row>
    <row r="326" spans="1:3" x14ac:dyDescent="0.2">
      <c r="B326" s="5">
        <v>7</v>
      </c>
      <c r="C326" s="5">
        <v>10.199999999999999</v>
      </c>
    </row>
    <row r="327" spans="1:3" x14ac:dyDescent="0.2">
      <c r="B327" s="5">
        <v>7</v>
      </c>
      <c r="C327" s="5">
        <v>13.8</v>
      </c>
    </row>
    <row r="328" spans="1:3" x14ac:dyDescent="0.2">
      <c r="B328" s="5">
        <v>8</v>
      </c>
      <c r="C328" s="5">
        <v>11.4</v>
      </c>
    </row>
    <row r="329" spans="1:3" x14ac:dyDescent="0.2">
      <c r="B329" s="5">
        <v>8</v>
      </c>
      <c r="C329" s="5">
        <v>15.8</v>
      </c>
    </row>
    <row r="330" spans="1:3" x14ac:dyDescent="0.2">
      <c r="B330" s="5">
        <v>9</v>
      </c>
      <c r="C330" s="5">
        <v>12.4</v>
      </c>
    </row>
    <row r="331" spans="1:3" x14ac:dyDescent="0.2">
      <c r="B331" s="5">
        <v>10</v>
      </c>
      <c r="C331" s="5">
        <v>11.9</v>
      </c>
    </row>
    <row r="332" spans="1:3" x14ac:dyDescent="0.2">
      <c r="B332" s="5">
        <v>10</v>
      </c>
      <c r="C332" s="5">
        <v>13.3</v>
      </c>
    </row>
    <row r="333" spans="1:3" x14ac:dyDescent="0.2">
      <c r="B333" s="5">
        <v>11</v>
      </c>
      <c r="C333" s="5">
        <v>14.3</v>
      </c>
    </row>
    <row r="334" spans="1:3" x14ac:dyDescent="0.2">
      <c r="B334" s="5">
        <v>11</v>
      </c>
      <c r="C334" s="5">
        <v>15.2</v>
      </c>
    </row>
    <row r="335" spans="1:3" x14ac:dyDescent="0.2">
      <c r="B335" s="5">
        <v>12</v>
      </c>
      <c r="C335" s="5">
        <v>15.5</v>
      </c>
    </row>
    <row r="336" spans="1:3" x14ac:dyDescent="0.2">
      <c r="B336" s="5">
        <v>12</v>
      </c>
      <c r="C336" s="5">
        <v>15.8</v>
      </c>
    </row>
    <row r="337" spans="1:3" x14ac:dyDescent="0.2">
      <c r="B337" s="5">
        <v>13</v>
      </c>
      <c r="C337" s="5">
        <v>16.8</v>
      </c>
    </row>
    <row r="338" spans="1:3" x14ac:dyDescent="0.2">
      <c r="B338" s="5">
        <v>13</v>
      </c>
      <c r="C338" s="5">
        <v>16.8</v>
      </c>
    </row>
    <row r="339" spans="1:3" x14ac:dyDescent="0.2">
      <c r="B339" s="5">
        <v>14</v>
      </c>
      <c r="C339" s="5">
        <v>19.600000000000001</v>
      </c>
    </row>
    <row r="340" spans="1:3" x14ac:dyDescent="0.2">
      <c r="B340" s="5">
        <v>14</v>
      </c>
      <c r="C340" s="5">
        <v>20.100000000000001</v>
      </c>
    </row>
    <row r="341" spans="1:3" x14ac:dyDescent="0.2">
      <c r="B341" s="5">
        <v>15</v>
      </c>
      <c r="C341" s="5">
        <v>21.2</v>
      </c>
    </row>
    <row r="342" spans="1:3" x14ac:dyDescent="0.2">
      <c r="B342" s="5">
        <v>15</v>
      </c>
      <c r="C342" s="5">
        <v>23.5</v>
      </c>
    </row>
    <row r="343" spans="1:3" x14ac:dyDescent="0.2">
      <c r="B343" s="5">
        <v>16</v>
      </c>
      <c r="C343" s="5">
        <v>21.4</v>
      </c>
    </row>
    <row r="344" spans="1:3" x14ac:dyDescent="0.2">
      <c r="B344" s="5">
        <v>16</v>
      </c>
      <c r="C344" s="5">
        <v>23.9</v>
      </c>
    </row>
    <row r="346" spans="1:3" x14ac:dyDescent="0.2">
      <c r="A346" s="1" t="s">
        <v>20</v>
      </c>
      <c r="B346" s="5">
        <v>7</v>
      </c>
      <c r="C346" s="5">
        <v>10.199999999999999</v>
      </c>
    </row>
    <row r="347" spans="1:3" x14ac:dyDescent="0.2">
      <c r="B347" s="5">
        <v>8</v>
      </c>
      <c r="C347" s="5">
        <v>11.4</v>
      </c>
    </row>
    <row r="348" spans="1:3" x14ac:dyDescent="0.2">
      <c r="B348" s="6">
        <v>8.9960094864899194</v>
      </c>
      <c r="C348" s="5">
        <v>9</v>
      </c>
    </row>
    <row r="349" spans="1:3" x14ac:dyDescent="0.2">
      <c r="B349" s="5">
        <v>9</v>
      </c>
      <c r="C349" s="5">
        <v>12.4</v>
      </c>
    </row>
    <row r="350" spans="1:3" x14ac:dyDescent="0.2">
      <c r="B350" s="6">
        <v>9.5426576465122199</v>
      </c>
      <c r="C350" s="5">
        <v>11.9</v>
      </c>
    </row>
    <row r="351" spans="1:3" x14ac:dyDescent="0.2">
      <c r="B351" s="6">
        <v>9.9960094864899194</v>
      </c>
      <c r="C351" s="5">
        <v>13.8</v>
      </c>
    </row>
    <row r="352" spans="1:3" x14ac:dyDescent="0.2">
      <c r="B352" s="5">
        <v>10</v>
      </c>
      <c r="C352" s="5">
        <v>13.3</v>
      </c>
    </row>
    <row r="353" spans="1:3" x14ac:dyDescent="0.2">
      <c r="B353" s="6">
        <v>10.5426576465122</v>
      </c>
      <c r="C353" s="5">
        <v>14.3</v>
      </c>
    </row>
    <row r="354" spans="1:3" x14ac:dyDescent="0.2">
      <c r="B354" s="6">
        <v>10.9960094864899</v>
      </c>
      <c r="C354" s="5">
        <v>15.8</v>
      </c>
    </row>
    <row r="355" spans="1:3" x14ac:dyDescent="0.2">
      <c r="B355" s="5">
        <v>11</v>
      </c>
      <c r="C355" s="5">
        <v>15.2</v>
      </c>
    </row>
    <row r="356" spans="1:3" x14ac:dyDescent="0.2">
      <c r="B356" s="6">
        <v>11.5426576465122</v>
      </c>
      <c r="C356" s="5">
        <v>15.5</v>
      </c>
    </row>
    <row r="357" spans="1:3" x14ac:dyDescent="0.2">
      <c r="B357" s="5">
        <v>12</v>
      </c>
      <c r="C357" s="5">
        <v>15.8</v>
      </c>
    </row>
    <row r="358" spans="1:3" x14ac:dyDescent="0.2">
      <c r="B358" s="6">
        <v>12.5426576465122</v>
      </c>
      <c r="C358" s="5">
        <v>16.8</v>
      </c>
    </row>
    <row r="359" spans="1:3" x14ac:dyDescent="0.2">
      <c r="B359" s="5">
        <v>13</v>
      </c>
      <c r="C359" s="5">
        <v>16.8</v>
      </c>
    </row>
    <row r="360" spans="1:3" x14ac:dyDescent="0.2">
      <c r="B360" s="6">
        <v>13.5426576465122</v>
      </c>
      <c r="C360" s="5">
        <v>20.100000000000001</v>
      </c>
    </row>
    <row r="361" spans="1:3" x14ac:dyDescent="0.2">
      <c r="B361" s="5">
        <v>14</v>
      </c>
      <c r="C361" s="5">
        <v>19.600000000000001</v>
      </c>
    </row>
    <row r="362" spans="1:3" x14ac:dyDescent="0.2">
      <c r="B362" s="6">
        <v>14.5426576465122</v>
      </c>
      <c r="C362" s="5">
        <v>23.5</v>
      </c>
    </row>
    <row r="363" spans="1:3" x14ac:dyDescent="0.2">
      <c r="B363" s="5">
        <v>15</v>
      </c>
      <c r="C363" s="5">
        <v>21.2</v>
      </c>
    </row>
    <row r="364" spans="1:3" x14ac:dyDescent="0.2">
      <c r="B364" s="6">
        <v>15.5426576465122</v>
      </c>
      <c r="C364" s="5">
        <v>23.9</v>
      </c>
    </row>
    <row r="365" spans="1:3" x14ac:dyDescent="0.2">
      <c r="B365" s="5">
        <v>16</v>
      </c>
      <c r="C365" s="5">
        <v>21.4</v>
      </c>
    </row>
    <row r="367" spans="1:3" x14ac:dyDescent="0.2">
      <c r="A367" s="1" t="s">
        <v>21</v>
      </c>
      <c r="B367" s="5">
        <v>3</v>
      </c>
      <c r="C367" s="5">
        <v>7.6</v>
      </c>
    </row>
    <row r="368" spans="1:3" x14ac:dyDescent="0.2">
      <c r="B368" s="5">
        <v>4</v>
      </c>
      <c r="C368" s="5">
        <v>9.8000000000000007</v>
      </c>
    </row>
    <row r="369" spans="1:3" x14ac:dyDescent="0.2">
      <c r="B369" s="5">
        <v>5</v>
      </c>
      <c r="C369" s="5">
        <v>11.2</v>
      </c>
    </row>
    <row r="370" spans="1:3" x14ac:dyDescent="0.2">
      <c r="B370" s="5">
        <v>6</v>
      </c>
      <c r="C370" s="5">
        <v>14.8</v>
      </c>
    </row>
    <row r="371" spans="1:3" x14ac:dyDescent="0.2">
      <c r="B371" s="5">
        <v>7</v>
      </c>
      <c r="C371" s="5">
        <v>16</v>
      </c>
    </row>
    <row r="372" spans="1:3" x14ac:dyDescent="0.2">
      <c r="B372" s="5">
        <v>8</v>
      </c>
      <c r="C372" s="5">
        <v>20</v>
      </c>
    </row>
    <row r="373" spans="1:3" x14ac:dyDescent="0.2">
      <c r="B373" s="5">
        <v>9</v>
      </c>
      <c r="C373" s="5">
        <v>21</v>
      </c>
    </row>
    <row r="375" spans="1:3" x14ac:dyDescent="0.2">
      <c r="A375" s="1" t="s">
        <v>22</v>
      </c>
      <c r="B375" s="5">
        <v>0.5</v>
      </c>
      <c r="C375" s="5">
        <v>3.1</v>
      </c>
    </row>
    <row r="376" spans="1:3" x14ac:dyDescent="0.2">
      <c r="B376" s="5">
        <v>0.5</v>
      </c>
      <c r="C376" s="5">
        <v>3.1</v>
      </c>
    </row>
    <row r="377" spans="1:3" x14ac:dyDescent="0.2">
      <c r="B377" s="5">
        <v>0.5</v>
      </c>
      <c r="C377" s="5">
        <v>3.1</v>
      </c>
    </row>
    <row r="378" spans="1:3" x14ac:dyDescent="0.2">
      <c r="B378" s="5">
        <v>0.5</v>
      </c>
      <c r="C378" s="5">
        <v>3.1</v>
      </c>
    </row>
    <row r="379" spans="1:3" x14ac:dyDescent="0.2">
      <c r="B379" s="5">
        <v>0.5</v>
      </c>
      <c r="C379" s="5">
        <v>3.1</v>
      </c>
    </row>
    <row r="380" spans="1:3" x14ac:dyDescent="0.2">
      <c r="B380" s="5">
        <v>0.5</v>
      </c>
      <c r="C380" s="5">
        <v>3.1</v>
      </c>
    </row>
    <row r="381" spans="1:3" x14ac:dyDescent="0.2">
      <c r="B381" s="5">
        <v>0.5</v>
      </c>
      <c r="C381" s="5">
        <v>3.1</v>
      </c>
    </row>
    <row r="382" spans="1:3" x14ac:dyDescent="0.2">
      <c r="B382" s="5">
        <v>0.5</v>
      </c>
      <c r="C382" s="5">
        <v>3.1</v>
      </c>
    </row>
    <row r="383" spans="1:3" x14ac:dyDescent="0.2">
      <c r="B383" s="5">
        <v>0.5</v>
      </c>
      <c r="C383" s="5">
        <v>3.1</v>
      </c>
    </row>
    <row r="384" spans="1:3" x14ac:dyDescent="0.2">
      <c r="B384" s="5">
        <v>0.5</v>
      </c>
      <c r="C384" s="5">
        <v>3.1</v>
      </c>
    </row>
    <row r="385" spans="2:3" x14ac:dyDescent="0.2">
      <c r="B385" s="5">
        <v>0.5</v>
      </c>
      <c r="C385" s="5">
        <v>3.1</v>
      </c>
    </row>
    <row r="386" spans="2:3" x14ac:dyDescent="0.2">
      <c r="B386" s="5">
        <v>0.5</v>
      </c>
      <c r="C386" s="5">
        <v>3.1</v>
      </c>
    </row>
    <row r="387" spans="2:3" x14ac:dyDescent="0.2">
      <c r="B387" s="5">
        <v>0.5</v>
      </c>
      <c r="C387" s="5">
        <v>3.1</v>
      </c>
    </row>
    <row r="388" spans="2:3" x14ac:dyDescent="0.2">
      <c r="B388" s="5">
        <v>0.5</v>
      </c>
      <c r="C388" s="5">
        <v>3.1</v>
      </c>
    </row>
    <row r="389" spans="2:3" x14ac:dyDescent="0.2">
      <c r="B389" s="5">
        <v>0.5</v>
      </c>
      <c r="C389" s="5">
        <v>3.1</v>
      </c>
    </row>
    <row r="390" spans="2:3" x14ac:dyDescent="0.2">
      <c r="B390" s="5">
        <v>0.5</v>
      </c>
      <c r="C390" s="5">
        <v>3.1</v>
      </c>
    </row>
    <row r="391" spans="2:3" x14ac:dyDescent="0.2">
      <c r="B391" s="5">
        <v>0.5</v>
      </c>
      <c r="C391" s="5">
        <v>3.1</v>
      </c>
    </row>
    <row r="392" spans="2:3" x14ac:dyDescent="0.2">
      <c r="B392" s="5">
        <v>0.5</v>
      </c>
      <c r="C392" s="5">
        <v>3.1</v>
      </c>
    </row>
    <row r="393" spans="2:3" x14ac:dyDescent="0.2">
      <c r="B393" s="5">
        <v>0.5</v>
      </c>
      <c r="C393" s="5">
        <v>3.1</v>
      </c>
    </row>
    <row r="394" spans="2:3" x14ac:dyDescent="0.2">
      <c r="B394" s="5">
        <v>0.5</v>
      </c>
      <c r="C394" s="5">
        <v>3.1</v>
      </c>
    </row>
    <row r="395" spans="2:3" x14ac:dyDescent="0.2">
      <c r="B395" s="5">
        <v>0.5</v>
      </c>
      <c r="C395" s="5">
        <v>3.1</v>
      </c>
    </row>
    <row r="396" spans="2:3" x14ac:dyDescent="0.2">
      <c r="B396" s="5">
        <v>0.5</v>
      </c>
      <c r="C396" s="5">
        <v>3.1</v>
      </c>
    </row>
    <row r="397" spans="2:3" x14ac:dyDescent="0.2">
      <c r="B397" s="5">
        <v>0.5</v>
      </c>
      <c r="C397" s="5">
        <v>3.1</v>
      </c>
    </row>
    <row r="398" spans="2:3" x14ac:dyDescent="0.2">
      <c r="B398" s="5">
        <v>0.5</v>
      </c>
      <c r="C398" s="5">
        <v>3.1</v>
      </c>
    </row>
    <row r="399" spans="2:3" x14ac:dyDescent="0.2">
      <c r="B399" s="5">
        <v>0.5</v>
      </c>
      <c r="C399" s="5">
        <v>3.1</v>
      </c>
    </row>
    <row r="400" spans="2:3" x14ac:dyDescent="0.2">
      <c r="B400" s="5">
        <v>0.5</v>
      </c>
      <c r="C400" s="5">
        <v>3.1</v>
      </c>
    </row>
    <row r="401" spans="2:3" x14ac:dyDescent="0.2">
      <c r="B401" s="5">
        <v>0.5</v>
      </c>
      <c r="C401" s="5">
        <v>3.1</v>
      </c>
    </row>
    <row r="402" spans="2:3" x14ac:dyDescent="0.2">
      <c r="B402" s="5">
        <v>0.5</v>
      </c>
      <c r="C402" s="5">
        <v>3.1</v>
      </c>
    </row>
    <row r="403" spans="2:3" x14ac:dyDescent="0.2">
      <c r="B403" s="5">
        <v>0.5</v>
      </c>
      <c r="C403" s="5">
        <v>3.1</v>
      </c>
    </row>
    <row r="404" spans="2:3" x14ac:dyDescent="0.2">
      <c r="B404" s="5">
        <v>0.5</v>
      </c>
      <c r="C404" s="5">
        <v>3.1</v>
      </c>
    </row>
    <row r="405" spans="2:3" x14ac:dyDescent="0.2">
      <c r="B405" s="5">
        <v>0.5</v>
      </c>
      <c r="C405" s="5">
        <v>3.1</v>
      </c>
    </row>
    <row r="406" spans="2:3" x14ac:dyDescent="0.2">
      <c r="B406" s="5">
        <v>0.5</v>
      </c>
      <c r="C406" s="5">
        <v>3.1</v>
      </c>
    </row>
    <row r="407" spans="2:3" x14ac:dyDescent="0.2">
      <c r="B407" s="5">
        <v>0.5</v>
      </c>
      <c r="C407" s="5">
        <v>3.1</v>
      </c>
    </row>
    <row r="408" spans="2:3" x14ac:dyDescent="0.2">
      <c r="B408" s="5">
        <v>0.5</v>
      </c>
      <c r="C408" s="5">
        <v>3.1</v>
      </c>
    </row>
    <row r="409" spans="2:3" x14ac:dyDescent="0.2">
      <c r="B409" s="5">
        <v>0.5</v>
      </c>
      <c r="C409" s="5">
        <v>3.1</v>
      </c>
    </row>
    <row r="410" spans="2:3" x14ac:dyDescent="0.2">
      <c r="B410" s="5">
        <v>0.5</v>
      </c>
      <c r="C410" s="5">
        <v>3</v>
      </c>
    </row>
    <row r="411" spans="2:3" x14ac:dyDescent="0.2">
      <c r="B411" s="5">
        <v>0.5</v>
      </c>
      <c r="C411" s="5">
        <v>3</v>
      </c>
    </row>
    <row r="412" spans="2:3" x14ac:dyDescent="0.2">
      <c r="B412" s="5">
        <v>0.5</v>
      </c>
      <c r="C412" s="5">
        <v>3</v>
      </c>
    </row>
    <row r="413" spans="2:3" x14ac:dyDescent="0.2">
      <c r="B413" s="5">
        <v>1</v>
      </c>
      <c r="C413" s="5">
        <v>3.4</v>
      </c>
    </row>
    <row r="414" spans="2:3" x14ac:dyDescent="0.2">
      <c r="B414" s="5">
        <v>1</v>
      </c>
      <c r="C414" s="5">
        <v>3.4</v>
      </c>
    </row>
    <row r="415" spans="2:3" x14ac:dyDescent="0.2">
      <c r="B415" s="5">
        <v>1</v>
      </c>
      <c r="C415" s="5">
        <v>3.4</v>
      </c>
    </row>
    <row r="416" spans="2:3" x14ac:dyDescent="0.2">
      <c r="B416" s="5">
        <v>1</v>
      </c>
      <c r="C416" s="5">
        <v>3.4</v>
      </c>
    </row>
    <row r="417" spans="2:3" x14ac:dyDescent="0.2">
      <c r="B417" s="5">
        <v>1</v>
      </c>
      <c r="C417" s="5">
        <v>5.3</v>
      </c>
    </row>
    <row r="418" spans="2:3" x14ac:dyDescent="0.2">
      <c r="B418" s="5">
        <v>1</v>
      </c>
      <c r="C418" s="5">
        <v>4.8</v>
      </c>
    </row>
    <row r="419" spans="2:3" x14ac:dyDescent="0.2">
      <c r="B419" s="5">
        <v>1</v>
      </c>
      <c r="C419" s="5">
        <v>4.5</v>
      </c>
    </row>
    <row r="420" spans="2:3" x14ac:dyDescent="0.2">
      <c r="B420" s="5">
        <v>2</v>
      </c>
      <c r="C420" s="5">
        <v>6.4</v>
      </c>
    </row>
    <row r="421" spans="2:3" x14ac:dyDescent="0.2">
      <c r="B421" s="5">
        <v>2</v>
      </c>
      <c r="C421" s="5">
        <v>5.7</v>
      </c>
    </row>
    <row r="422" spans="2:3" x14ac:dyDescent="0.2">
      <c r="B422" s="5">
        <v>2</v>
      </c>
      <c r="C422" s="5">
        <v>6.2</v>
      </c>
    </row>
    <row r="423" spans="2:3" x14ac:dyDescent="0.2">
      <c r="B423" s="5">
        <v>2</v>
      </c>
      <c r="C423" s="5">
        <v>6.8</v>
      </c>
    </row>
    <row r="424" spans="2:3" x14ac:dyDescent="0.2">
      <c r="B424" s="5">
        <v>2</v>
      </c>
      <c r="C424" s="5">
        <v>7.2</v>
      </c>
    </row>
    <row r="425" spans="2:3" x14ac:dyDescent="0.2">
      <c r="B425" s="5">
        <v>2</v>
      </c>
      <c r="C425" s="5">
        <v>5.2</v>
      </c>
    </row>
    <row r="426" spans="2:3" x14ac:dyDescent="0.2">
      <c r="B426" s="5">
        <v>3</v>
      </c>
      <c r="C426" s="5">
        <v>8.5</v>
      </c>
    </row>
    <row r="427" spans="2:3" x14ac:dyDescent="0.2">
      <c r="B427" s="5">
        <v>3</v>
      </c>
      <c r="C427" s="5">
        <v>8</v>
      </c>
    </row>
    <row r="428" spans="2:3" x14ac:dyDescent="0.2">
      <c r="B428" s="5">
        <v>3</v>
      </c>
      <c r="C428" s="5">
        <v>10.3</v>
      </c>
    </row>
    <row r="429" spans="2:3" x14ac:dyDescent="0.2">
      <c r="B429" s="5">
        <v>3</v>
      </c>
      <c r="C429" s="5">
        <v>7.6</v>
      </c>
    </row>
    <row r="430" spans="2:3" x14ac:dyDescent="0.2">
      <c r="B430" s="5">
        <v>3</v>
      </c>
      <c r="C430" s="5">
        <v>7.3</v>
      </c>
    </row>
    <row r="431" spans="2:3" x14ac:dyDescent="0.2">
      <c r="B431" s="5">
        <v>4</v>
      </c>
      <c r="C431" s="5">
        <v>10</v>
      </c>
    </row>
    <row r="432" spans="2:3" x14ac:dyDescent="0.2">
      <c r="B432" s="5">
        <v>4</v>
      </c>
      <c r="C432" s="5">
        <v>10.1</v>
      </c>
    </row>
    <row r="433" spans="2:3" x14ac:dyDescent="0.2">
      <c r="B433" s="5">
        <v>4</v>
      </c>
      <c r="C433" s="5">
        <v>9.8000000000000007</v>
      </c>
    </row>
    <row r="434" spans="2:3" x14ac:dyDescent="0.2">
      <c r="B434" s="5">
        <v>5</v>
      </c>
      <c r="C434" s="5">
        <v>11.9</v>
      </c>
    </row>
    <row r="435" spans="2:3" x14ac:dyDescent="0.2">
      <c r="B435" s="5">
        <v>5</v>
      </c>
      <c r="C435" s="5">
        <v>11.3</v>
      </c>
    </row>
    <row r="436" spans="2:3" x14ac:dyDescent="0.2">
      <c r="B436" s="5">
        <v>5</v>
      </c>
      <c r="C436" s="5">
        <v>11.3</v>
      </c>
    </row>
    <row r="437" spans="2:3" x14ac:dyDescent="0.2">
      <c r="B437" s="5">
        <v>5</v>
      </c>
      <c r="C437" s="5">
        <v>10.8</v>
      </c>
    </row>
    <row r="438" spans="2:3" x14ac:dyDescent="0.2">
      <c r="B438" s="5">
        <v>5</v>
      </c>
      <c r="C438" s="5">
        <v>11.1</v>
      </c>
    </row>
    <row r="439" spans="2:3" x14ac:dyDescent="0.2">
      <c r="B439" s="5">
        <v>6</v>
      </c>
      <c r="C439" s="5">
        <v>13.8</v>
      </c>
    </row>
    <row r="440" spans="2:3" x14ac:dyDescent="0.2">
      <c r="B440" s="5">
        <v>6</v>
      </c>
      <c r="C440" s="5">
        <v>13.3</v>
      </c>
    </row>
    <row r="441" spans="2:3" x14ac:dyDescent="0.2">
      <c r="B441" s="5">
        <v>6</v>
      </c>
      <c r="C441" s="5">
        <v>13</v>
      </c>
    </row>
    <row r="442" spans="2:3" x14ac:dyDescent="0.2">
      <c r="B442" s="5">
        <v>6</v>
      </c>
      <c r="C442" s="5">
        <v>13.2</v>
      </c>
    </row>
    <row r="443" spans="2:3" x14ac:dyDescent="0.2">
      <c r="B443" s="5">
        <v>7</v>
      </c>
      <c r="C443" s="5">
        <v>14.4</v>
      </c>
    </row>
    <row r="444" spans="2:3" x14ac:dyDescent="0.2">
      <c r="B444" s="5">
        <v>7</v>
      </c>
      <c r="C444" s="5">
        <v>14.9</v>
      </c>
    </row>
    <row r="445" spans="2:3" x14ac:dyDescent="0.2">
      <c r="B445" s="5">
        <v>7</v>
      </c>
      <c r="C445" s="5">
        <v>13.5</v>
      </c>
    </row>
    <row r="446" spans="2:3" x14ac:dyDescent="0.2">
      <c r="B446" s="5">
        <v>7</v>
      </c>
      <c r="C446" s="5">
        <v>13.5</v>
      </c>
    </row>
    <row r="447" spans="2:3" x14ac:dyDescent="0.2">
      <c r="B447" s="5">
        <v>8</v>
      </c>
      <c r="C447" s="5">
        <v>16.5</v>
      </c>
    </row>
    <row r="448" spans="2:3" x14ac:dyDescent="0.2">
      <c r="B448" s="5">
        <v>8</v>
      </c>
      <c r="C448" s="5">
        <v>16.399999999999999</v>
      </c>
    </row>
    <row r="449" spans="1:3" x14ac:dyDescent="0.2">
      <c r="B449" s="5">
        <v>8</v>
      </c>
      <c r="C449" s="5">
        <v>15.5</v>
      </c>
    </row>
    <row r="450" spans="1:3" x14ac:dyDescent="0.2">
      <c r="B450" s="5">
        <v>8</v>
      </c>
      <c r="C450" s="5">
        <v>14.8</v>
      </c>
    </row>
    <row r="451" spans="1:3" x14ac:dyDescent="0.2">
      <c r="B451" s="5">
        <v>9</v>
      </c>
      <c r="C451" s="5">
        <v>17.2</v>
      </c>
    </row>
    <row r="452" spans="1:3" x14ac:dyDescent="0.2">
      <c r="B452" s="5">
        <v>9</v>
      </c>
      <c r="C452" s="5">
        <v>18.899999999999999</v>
      </c>
    </row>
    <row r="453" spans="1:3" x14ac:dyDescent="0.2">
      <c r="B453" s="5">
        <v>10</v>
      </c>
      <c r="C453" s="5">
        <v>20.100000000000001</v>
      </c>
    </row>
    <row r="454" spans="1:3" x14ac:dyDescent="0.2">
      <c r="B454" s="5">
        <v>11</v>
      </c>
      <c r="C454" s="5">
        <v>20.2</v>
      </c>
    </row>
    <row r="456" spans="1:3" x14ac:dyDescent="0.2">
      <c r="A456" s="1" t="s">
        <v>23</v>
      </c>
      <c r="B456" s="5">
        <v>0.5</v>
      </c>
      <c r="C456" s="5">
        <v>3</v>
      </c>
    </row>
    <row r="457" spans="1:3" x14ac:dyDescent="0.2">
      <c r="B457" s="5">
        <v>0.5</v>
      </c>
      <c r="C457" s="5">
        <v>3.1</v>
      </c>
    </row>
    <row r="458" spans="1:3" x14ac:dyDescent="0.2">
      <c r="B458" s="5">
        <v>1</v>
      </c>
      <c r="C458" s="5">
        <v>3.4</v>
      </c>
    </row>
    <row r="459" spans="1:3" x14ac:dyDescent="0.2">
      <c r="B459" s="5">
        <v>1</v>
      </c>
      <c r="C459" s="5">
        <v>4.5</v>
      </c>
    </row>
    <row r="460" spans="1:3" x14ac:dyDescent="0.2">
      <c r="B460" s="5">
        <v>1</v>
      </c>
      <c r="C460" s="5">
        <v>4.8</v>
      </c>
    </row>
    <row r="461" spans="1:3" x14ac:dyDescent="0.2">
      <c r="B461" s="5">
        <v>1</v>
      </c>
      <c r="C461" s="5">
        <v>5.3</v>
      </c>
    </row>
    <row r="462" spans="1:3" x14ac:dyDescent="0.2">
      <c r="B462" s="5">
        <v>2</v>
      </c>
      <c r="C462" s="5">
        <v>5.2</v>
      </c>
    </row>
    <row r="463" spans="1:3" x14ac:dyDescent="0.2">
      <c r="B463" s="5">
        <v>2</v>
      </c>
      <c r="C463" s="5">
        <v>5.7</v>
      </c>
    </row>
    <row r="464" spans="1:3" x14ac:dyDescent="0.2">
      <c r="B464" s="5">
        <v>2</v>
      </c>
      <c r="C464" s="5">
        <v>6.2</v>
      </c>
    </row>
    <row r="465" spans="2:3" x14ac:dyDescent="0.2">
      <c r="B465" s="5">
        <v>2</v>
      </c>
      <c r="C465" s="5">
        <v>6.4</v>
      </c>
    </row>
    <row r="466" spans="2:3" x14ac:dyDescent="0.2">
      <c r="B466" s="5">
        <v>2</v>
      </c>
      <c r="C466" s="5">
        <v>6.8</v>
      </c>
    </row>
    <row r="467" spans="2:3" x14ac:dyDescent="0.2">
      <c r="B467" s="5">
        <v>2</v>
      </c>
      <c r="C467" s="5">
        <v>7.2</v>
      </c>
    </row>
    <row r="468" spans="2:3" x14ac:dyDescent="0.2">
      <c r="B468" s="5">
        <v>3</v>
      </c>
      <c r="C468" s="5">
        <v>7.3</v>
      </c>
    </row>
    <row r="469" spans="2:3" x14ac:dyDescent="0.2">
      <c r="B469" s="5">
        <v>3</v>
      </c>
      <c r="C469" s="5">
        <v>7.6</v>
      </c>
    </row>
    <row r="470" spans="2:3" x14ac:dyDescent="0.2">
      <c r="B470" s="5">
        <v>3</v>
      </c>
      <c r="C470" s="5">
        <v>8</v>
      </c>
    </row>
    <row r="471" spans="2:3" x14ac:dyDescent="0.2">
      <c r="B471" s="5">
        <v>3</v>
      </c>
      <c r="C471" s="5">
        <v>8.5</v>
      </c>
    </row>
    <row r="472" spans="2:3" x14ac:dyDescent="0.2">
      <c r="B472" s="5">
        <v>3</v>
      </c>
      <c r="C472" s="5">
        <v>10.3</v>
      </c>
    </row>
    <row r="473" spans="2:3" x14ac:dyDescent="0.2">
      <c r="B473" s="5">
        <v>4</v>
      </c>
      <c r="C473" s="5">
        <v>9.8000000000000007</v>
      </c>
    </row>
    <row r="474" spans="2:3" x14ac:dyDescent="0.2">
      <c r="B474" s="5">
        <v>4</v>
      </c>
      <c r="C474" s="5">
        <v>10</v>
      </c>
    </row>
    <row r="475" spans="2:3" x14ac:dyDescent="0.2">
      <c r="B475" s="5">
        <v>4</v>
      </c>
      <c r="C475" s="5">
        <v>10.1</v>
      </c>
    </row>
    <row r="476" spans="2:3" x14ac:dyDescent="0.2">
      <c r="B476" s="5">
        <v>5</v>
      </c>
      <c r="C476" s="5">
        <v>10.8</v>
      </c>
    </row>
    <row r="477" spans="2:3" x14ac:dyDescent="0.2">
      <c r="B477" s="5">
        <v>5</v>
      </c>
      <c r="C477" s="5">
        <v>11.1</v>
      </c>
    </row>
    <row r="478" spans="2:3" x14ac:dyDescent="0.2">
      <c r="B478" s="5">
        <v>5</v>
      </c>
      <c r="C478" s="5">
        <v>11.3</v>
      </c>
    </row>
    <row r="479" spans="2:3" x14ac:dyDescent="0.2">
      <c r="B479" s="5">
        <v>5</v>
      </c>
      <c r="C479" s="5">
        <v>11.9</v>
      </c>
    </row>
    <row r="480" spans="2:3" x14ac:dyDescent="0.2">
      <c r="B480" s="5">
        <v>6</v>
      </c>
      <c r="C480" s="5">
        <v>13</v>
      </c>
    </row>
    <row r="481" spans="1:3" x14ac:dyDescent="0.2">
      <c r="B481" s="5">
        <v>6</v>
      </c>
      <c r="C481" s="5">
        <v>13.2</v>
      </c>
    </row>
    <row r="482" spans="1:3" x14ac:dyDescent="0.2">
      <c r="B482" s="5">
        <v>6</v>
      </c>
      <c r="C482" s="5">
        <v>13.3</v>
      </c>
    </row>
    <row r="483" spans="1:3" x14ac:dyDescent="0.2">
      <c r="B483" s="5">
        <v>6</v>
      </c>
      <c r="C483" s="5">
        <v>13.8</v>
      </c>
    </row>
    <row r="484" spans="1:3" x14ac:dyDescent="0.2">
      <c r="B484" s="5">
        <v>7</v>
      </c>
      <c r="C484" s="5">
        <v>13.5</v>
      </c>
    </row>
    <row r="485" spans="1:3" x14ac:dyDescent="0.2">
      <c r="B485" s="5">
        <v>7</v>
      </c>
      <c r="C485" s="5">
        <v>14.4</v>
      </c>
    </row>
    <row r="486" spans="1:3" x14ac:dyDescent="0.2">
      <c r="B486" s="5">
        <v>7</v>
      </c>
      <c r="C486" s="5">
        <v>14.9</v>
      </c>
    </row>
    <row r="487" spans="1:3" x14ac:dyDescent="0.2">
      <c r="B487" s="5">
        <v>8</v>
      </c>
      <c r="C487" s="5">
        <v>14.8</v>
      </c>
    </row>
    <row r="488" spans="1:3" x14ac:dyDescent="0.2">
      <c r="B488" s="5">
        <v>8</v>
      </c>
      <c r="C488" s="5">
        <v>15.5</v>
      </c>
    </row>
    <row r="489" spans="1:3" x14ac:dyDescent="0.2">
      <c r="B489" s="5">
        <v>8</v>
      </c>
      <c r="C489" s="5">
        <v>16.399999999999999</v>
      </c>
    </row>
    <row r="490" spans="1:3" x14ac:dyDescent="0.2">
      <c r="B490" s="5">
        <v>8</v>
      </c>
      <c r="C490" s="5">
        <v>16.5</v>
      </c>
    </row>
    <row r="491" spans="1:3" x14ac:dyDescent="0.2">
      <c r="B491" s="5">
        <v>9</v>
      </c>
      <c r="C491" s="5">
        <v>17.2</v>
      </c>
    </row>
    <row r="492" spans="1:3" x14ac:dyDescent="0.2">
      <c r="B492" s="5">
        <v>9</v>
      </c>
      <c r="C492" s="5">
        <v>18.899999999999999</v>
      </c>
    </row>
    <row r="493" spans="1:3" x14ac:dyDescent="0.2">
      <c r="B493" s="5">
        <v>10</v>
      </c>
      <c r="C493" s="5">
        <v>20.100000000000001</v>
      </c>
    </row>
    <row r="494" spans="1:3" x14ac:dyDescent="0.2">
      <c r="B494" s="5">
        <v>11</v>
      </c>
      <c r="C494" s="5">
        <v>20.2</v>
      </c>
    </row>
    <row r="496" spans="1:3" x14ac:dyDescent="0.2">
      <c r="A496" s="1" t="s">
        <v>24</v>
      </c>
      <c r="B496" s="5">
        <v>0.5</v>
      </c>
      <c r="C496" s="5">
        <v>3.1</v>
      </c>
    </row>
    <row r="497" spans="2:3" x14ac:dyDescent="0.2">
      <c r="B497" s="5">
        <v>0.5</v>
      </c>
      <c r="C497" s="5">
        <v>3</v>
      </c>
    </row>
    <row r="498" spans="2:3" x14ac:dyDescent="0.2">
      <c r="B498" s="5">
        <v>0.5</v>
      </c>
      <c r="C498" s="5">
        <v>3</v>
      </c>
    </row>
    <row r="499" spans="2:3" x14ac:dyDescent="0.2">
      <c r="B499" s="5">
        <v>1</v>
      </c>
      <c r="C499" s="5">
        <v>3.4</v>
      </c>
    </row>
    <row r="500" spans="2:3" x14ac:dyDescent="0.2">
      <c r="B500" s="5">
        <v>1</v>
      </c>
      <c r="C500" s="5">
        <v>3.4</v>
      </c>
    </row>
    <row r="501" spans="2:3" x14ac:dyDescent="0.2">
      <c r="B501" s="5">
        <v>1</v>
      </c>
      <c r="C501" s="5">
        <v>3.4</v>
      </c>
    </row>
    <row r="502" spans="2:3" x14ac:dyDescent="0.2">
      <c r="B502" s="5">
        <v>1</v>
      </c>
      <c r="C502" s="5">
        <v>3.4</v>
      </c>
    </row>
    <row r="503" spans="2:3" x14ac:dyDescent="0.2">
      <c r="B503" s="5">
        <v>1</v>
      </c>
      <c r="C503" s="5">
        <v>4.5</v>
      </c>
    </row>
    <row r="504" spans="2:3" x14ac:dyDescent="0.2">
      <c r="B504" s="5">
        <v>2</v>
      </c>
      <c r="C504" s="5">
        <v>5.2</v>
      </c>
    </row>
    <row r="505" spans="2:3" x14ac:dyDescent="0.2">
      <c r="B505" s="5">
        <v>3</v>
      </c>
      <c r="C505" s="5">
        <v>8.5</v>
      </c>
    </row>
    <row r="506" spans="2:3" x14ac:dyDescent="0.2">
      <c r="B506" s="5">
        <v>3</v>
      </c>
      <c r="C506" s="5">
        <v>8</v>
      </c>
    </row>
    <row r="507" spans="2:3" x14ac:dyDescent="0.2">
      <c r="B507" s="5">
        <v>3</v>
      </c>
      <c r="C507" s="5">
        <v>10.3</v>
      </c>
    </row>
    <row r="508" spans="2:3" x14ac:dyDescent="0.2">
      <c r="B508" s="5">
        <v>4</v>
      </c>
      <c r="C508" s="5">
        <v>10.1</v>
      </c>
    </row>
    <row r="509" spans="2:3" x14ac:dyDescent="0.2">
      <c r="B509" s="5">
        <v>4</v>
      </c>
      <c r="C509" s="5">
        <v>9.8000000000000007</v>
      </c>
    </row>
    <row r="510" spans="2:3" x14ac:dyDescent="0.2">
      <c r="B510" s="5">
        <v>5</v>
      </c>
      <c r="C510" s="5">
        <v>10.8</v>
      </c>
    </row>
    <row r="511" spans="2:3" x14ac:dyDescent="0.2">
      <c r="B511" s="5">
        <v>5</v>
      </c>
      <c r="C511" s="5">
        <v>11.1</v>
      </c>
    </row>
    <row r="512" spans="2:3" x14ac:dyDescent="0.2">
      <c r="B512" s="5">
        <v>7</v>
      </c>
      <c r="C512" s="5">
        <v>14.4</v>
      </c>
    </row>
    <row r="513" spans="1:3" x14ac:dyDescent="0.2">
      <c r="B513" s="5">
        <v>7</v>
      </c>
      <c r="C513" s="5">
        <v>14.9</v>
      </c>
    </row>
    <row r="514" spans="1:3" x14ac:dyDescent="0.2">
      <c r="B514" s="5">
        <v>7</v>
      </c>
      <c r="C514" s="5">
        <v>13.5</v>
      </c>
    </row>
    <row r="515" spans="1:3" x14ac:dyDescent="0.2">
      <c r="B515" s="5">
        <v>7</v>
      </c>
      <c r="C515" s="5">
        <v>13.5</v>
      </c>
    </row>
    <row r="516" spans="1:3" x14ac:dyDescent="0.2">
      <c r="B516" s="5">
        <v>8</v>
      </c>
      <c r="C516" s="5">
        <v>16.399999999999999</v>
      </c>
    </row>
    <row r="517" spans="1:3" x14ac:dyDescent="0.2">
      <c r="B517" s="5">
        <v>8</v>
      </c>
      <c r="C517" s="5">
        <v>15.5</v>
      </c>
    </row>
    <row r="518" spans="1:3" x14ac:dyDescent="0.2">
      <c r="B518" s="5">
        <v>8</v>
      </c>
      <c r="C518" s="5">
        <v>14.8</v>
      </c>
    </row>
    <row r="519" spans="1:3" x14ac:dyDescent="0.2">
      <c r="B519" s="5">
        <v>9</v>
      </c>
      <c r="C519" s="5">
        <v>18.899999999999999</v>
      </c>
    </row>
    <row r="520" spans="1:3" x14ac:dyDescent="0.2">
      <c r="B520" s="5">
        <v>10</v>
      </c>
      <c r="C520" s="5">
        <v>20.100000000000001</v>
      </c>
    </row>
    <row r="521" spans="1:3" x14ac:dyDescent="0.2">
      <c r="B521" s="5">
        <v>11</v>
      </c>
      <c r="C521" s="5">
        <v>20.2</v>
      </c>
    </row>
    <row r="523" spans="1:3" x14ac:dyDescent="0.2">
      <c r="A523" s="1" t="s">
        <v>25</v>
      </c>
      <c r="B523" s="5">
        <v>0.5</v>
      </c>
      <c r="C523" s="5">
        <v>3</v>
      </c>
    </row>
    <row r="524" spans="1:3" x14ac:dyDescent="0.2">
      <c r="B524" s="5">
        <v>0.5</v>
      </c>
      <c r="C524" s="5">
        <v>3.1</v>
      </c>
    </row>
    <row r="525" spans="1:3" x14ac:dyDescent="0.2">
      <c r="B525" s="5">
        <v>1</v>
      </c>
      <c r="C525" s="5">
        <v>3.4</v>
      </c>
    </row>
    <row r="526" spans="1:3" x14ac:dyDescent="0.2">
      <c r="B526" s="5">
        <v>1</v>
      </c>
      <c r="C526" s="5">
        <v>4.5</v>
      </c>
    </row>
    <row r="527" spans="1:3" x14ac:dyDescent="0.2">
      <c r="B527" s="5">
        <v>2</v>
      </c>
      <c r="C527" s="5">
        <v>5.2</v>
      </c>
    </row>
    <row r="528" spans="1:3" x14ac:dyDescent="0.2">
      <c r="B528" s="5">
        <v>3</v>
      </c>
      <c r="C528" s="5">
        <v>8</v>
      </c>
    </row>
    <row r="529" spans="2:3" x14ac:dyDescent="0.2">
      <c r="B529" s="5">
        <v>3</v>
      </c>
      <c r="C529" s="5">
        <v>8.5</v>
      </c>
    </row>
    <row r="530" spans="2:3" x14ac:dyDescent="0.2">
      <c r="B530" s="5">
        <v>3</v>
      </c>
      <c r="C530" s="5">
        <v>10.3</v>
      </c>
    </row>
    <row r="531" spans="2:3" x14ac:dyDescent="0.2">
      <c r="B531" s="5">
        <v>4</v>
      </c>
      <c r="C531" s="5">
        <v>9.8000000000000007</v>
      </c>
    </row>
    <row r="532" spans="2:3" x14ac:dyDescent="0.2">
      <c r="B532" s="5">
        <v>4</v>
      </c>
      <c r="C532" s="5">
        <v>10.1</v>
      </c>
    </row>
    <row r="533" spans="2:3" x14ac:dyDescent="0.2">
      <c r="B533" s="5">
        <v>5</v>
      </c>
      <c r="C533" s="5">
        <v>10.8</v>
      </c>
    </row>
    <row r="534" spans="2:3" x14ac:dyDescent="0.2">
      <c r="B534" s="5">
        <v>5</v>
      </c>
      <c r="C534" s="5">
        <v>11.1</v>
      </c>
    </row>
    <row r="535" spans="2:3" x14ac:dyDescent="0.2">
      <c r="B535" s="5">
        <v>7</v>
      </c>
      <c r="C535" s="5">
        <v>13.5</v>
      </c>
    </row>
    <row r="536" spans="2:3" x14ac:dyDescent="0.2">
      <c r="B536" s="5">
        <v>7</v>
      </c>
      <c r="C536" s="5">
        <v>14.4</v>
      </c>
    </row>
    <row r="537" spans="2:3" x14ac:dyDescent="0.2">
      <c r="B537" s="5">
        <v>7</v>
      </c>
      <c r="C537" s="5">
        <v>14.9</v>
      </c>
    </row>
    <row r="538" spans="2:3" x14ac:dyDescent="0.2">
      <c r="B538" s="5">
        <v>8</v>
      </c>
      <c r="C538" s="5">
        <v>14.8</v>
      </c>
    </row>
    <row r="539" spans="2:3" x14ac:dyDescent="0.2">
      <c r="B539" s="5">
        <v>8</v>
      </c>
      <c r="C539" s="5">
        <v>15.5</v>
      </c>
    </row>
    <row r="540" spans="2:3" x14ac:dyDescent="0.2">
      <c r="B540" s="5">
        <v>8</v>
      </c>
      <c r="C540" s="5">
        <v>16.399999999999999</v>
      </c>
    </row>
    <row r="541" spans="2:3" x14ac:dyDescent="0.2">
      <c r="B541" s="5">
        <v>9</v>
      </c>
      <c r="C541" s="5">
        <v>18.899999999999999</v>
      </c>
    </row>
    <row r="542" spans="2:3" x14ac:dyDescent="0.2">
      <c r="B542" s="5">
        <v>10</v>
      </c>
      <c r="C542" s="5">
        <v>20.100000000000001</v>
      </c>
    </row>
    <row r="543" spans="2:3" x14ac:dyDescent="0.2">
      <c r="B543" s="5">
        <v>11</v>
      </c>
      <c r="C543" s="5">
        <v>20.2</v>
      </c>
    </row>
    <row r="545" spans="1:3" x14ac:dyDescent="0.2">
      <c r="A545" s="1" t="s">
        <v>26</v>
      </c>
      <c r="B545" s="5">
        <v>7</v>
      </c>
      <c r="C545" s="5">
        <v>33.6</v>
      </c>
    </row>
    <row r="546" spans="1:3" x14ac:dyDescent="0.2">
      <c r="B546" s="5">
        <v>8</v>
      </c>
      <c r="C546" s="5">
        <v>35.9</v>
      </c>
    </row>
    <row r="547" spans="1:3" x14ac:dyDescent="0.2">
      <c r="B547" s="5">
        <v>9</v>
      </c>
      <c r="C547" s="5">
        <v>37.299999999999997</v>
      </c>
    </row>
    <row r="548" spans="1:3" x14ac:dyDescent="0.2">
      <c r="B548" s="5">
        <v>10</v>
      </c>
      <c r="C548" s="5">
        <v>38.299999999999997</v>
      </c>
    </row>
    <row r="549" spans="1:3" x14ac:dyDescent="0.2">
      <c r="B549" s="5">
        <v>11</v>
      </c>
      <c r="C549" s="5">
        <v>39</v>
      </c>
    </row>
    <row r="550" spans="1:3" x14ac:dyDescent="0.2">
      <c r="B550" s="5">
        <v>12</v>
      </c>
      <c r="C550" s="5">
        <v>39.299999999999997</v>
      </c>
    </row>
    <row r="551" spans="1:3" x14ac:dyDescent="0.2">
      <c r="B551" s="5">
        <v>13</v>
      </c>
      <c r="C551" s="5">
        <v>39.5</v>
      </c>
    </row>
    <row r="553" spans="1:3" x14ac:dyDescent="0.2">
      <c r="A553" s="1" t="s">
        <v>27</v>
      </c>
      <c r="B553" s="5">
        <v>6</v>
      </c>
      <c r="C553" s="5">
        <v>23.6</v>
      </c>
    </row>
    <row r="554" spans="1:3" x14ac:dyDescent="0.2">
      <c r="B554" s="5">
        <v>7</v>
      </c>
      <c r="C554" s="5">
        <v>26.9</v>
      </c>
    </row>
    <row r="555" spans="1:3" x14ac:dyDescent="0.2">
      <c r="B555" s="5">
        <v>8</v>
      </c>
      <c r="C555" s="5">
        <v>29.5</v>
      </c>
    </row>
    <row r="556" spans="1:3" x14ac:dyDescent="0.2">
      <c r="B556" s="5">
        <v>9</v>
      </c>
      <c r="C556" s="5">
        <v>31.2</v>
      </c>
    </row>
    <row r="557" spans="1:3" x14ac:dyDescent="0.2">
      <c r="B557" s="5">
        <v>10</v>
      </c>
      <c r="C557" s="5">
        <v>33.1</v>
      </c>
    </row>
    <row r="558" spans="1:3" x14ac:dyDescent="0.2">
      <c r="B558" s="5">
        <v>11</v>
      </c>
      <c r="C558" s="5">
        <v>33.6</v>
      </c>
    </row>
    <row r="559" spans="1:3" x14ac:dyDescent="0.2">
      <c r="B559" s="5">
        <v>12</v>
      </c>
      <c r="C559" s="5">
        <v>34.1</v>
      </c>
    </row>
    <row r="560" spans="1:3" x14ac:dyDescent="0.2">
      <c r="B560" s="5">
        <v>13</v>
      </c>
      <c r="C560" s="5">
        <v>34.200000000000003</v>
      </c>
    </row>
    <row r="562" spans="1:3" x14ac:dyDescent="0.2">
      <c r="A562" s="1" t="s">
        <v>28</v>
      </c>
      <c r="B562" s="5">
        <v>5</v>
      </c>
      <c r="C562" s="5">
        <v>4.5999999999999996</v>
      </c>
    </row>
    <row r="563" spans="1:3" x14ac:dyDescent="0.2">
      <c r="B563" s="5">
        <v>6</v>
      </c>
      <c r="C563" s="5">
        <v>5.0999999999999996</v>
      </c>
    </row>
    <row r="564" spans="1:3" x14ac:dyDescent="0.2">
      <c r="B564" s="5">
        <v>7</v>
      </c>
      <c r="C564" s="5">
        <v>6.1</v>
      </c>
    </row>
    <row r="565" spans="1:3" x14ac:dyDescent="0.2">
      <c r="B565" s="5">
        <v>8</v>
      </c>
      <c r="C565" s="5">
        <v>7.2</v>
      </c>
    </row>
    <row r="566" spans="1:3" x14ac:dyDescent="0.2">
      <c r="B566" s="5">
        <v>9</v>
      </c>
      <c r="C566" s="5">
        <v>7.6</v>
      </c>
    </row>
    <row r="567" spans="1:3" x14ac:dyDescent="0.2">
      <c r="B567" s="5">
        <v>10</v>
      </c>
      <c r="C567" s="5">
        <v>8</v>
      </c>
    </row>
    <row r="568" spans="1:3" x14ac:dyDescent="0.2">
      <c r="B568" s="5">
        <v>11</v>
      </c>
      <c r="C568" s="5">
        <v>8.9</v>
      </c>
    </row>
    <row r="569" spans="1:3" x14ac:dyDescent="0.2">
      <c r="B569" s="5">
        <v>12</v>
      </c>
      <c r="C569" s="5">
        <v>9.3000000000000007</v>
      </c>
    </row>
    <row r="570" spans="1:3" x14ac:dyDescent="0.2">
      <c r="B570" s="5">
        <v>13</v>
      </c>
      <c r="C570" s="5">
        <v>9.6999999999999993</v>
      </c>
    </row>
    <row r="571" spans="1:3" x14ac:dyDescent="0.2">
      <c r="B571" s="5">
        <v>14</v>
      </c>
      <c r="C571" s="5">
        <v>10.1</v>
      </c>
    </row>
    <row r="572" spans="1:3" x14ac:dyDescent="0.2">
      <c r="B572" s="5">
        <v>15</v>
      </c>
      <c r="C572" s="5">
        <v>10.5</v>
      </c>
    </row>
    <row r="573" spans="1:3" x14ac:dyDescent="0.2">
      <c r="B573" s="5">
        <v>16</v>
      </c>
      <c r="C573" s="5">
        <v>11.2</v>
      </c>
    </row>
    <row r="574" spans="1:3" x14ac:dyDescent="0.2">
      <c r="B574" s="5">
        <v>17</v>
      </c>
      <c r="C574" s="5">
        <v>11.8</v>
      </c>
    </row>
    <row r="576" spans="1:3" x14ac:dyDescent="0.2">
      <c r="A576" s="1" t="s">
        <v>29</v>
      </c>
      <c r="B576" s="5">
        <v>5</v>
      </c>
      <c r="C576" s="5">
        <v>6.3</v>
      </c>
    </row>
    <row r="577" spans="1:3" x14ac:dyDescent="0.2">
      <c r="B577" s="5">
        <v>6</v>
      </c>
      <c r="C577" s="5">
        <v>6.9</v>
      </c>
    </row>
    <row r="578" spans="1:3" x14ac:dyDescent="0.2">
      <c r="B578" s="5">
        <v>7</v>
      </c>
      <c r="C578" s="5">
        <v>7.6</v>
      </c>
    </row>
    <row r="579" spans="1:3" x14ac:dyDescent="0.2">
      <c r="B579" s="5">
        <v>8</v>
      </c>
      <c r="C579" s="5">
        <v>8.6</v>
      </c>
    </row>
    <row r="580" spans="1:3" x14ac:dyDescent="0.2">
      <c r="B580" s="5">
        <v>9</v>
      </c>
      <c r="C580" s="5">
        <v>9.5</v>
      </c>
    </row>
    <row r="581" spans="1:3" x14ac:dyDescent="0.2">
      <c r="B581" s="5">
        <v>10</v>
      </c>
      <c r="C581" s="5">
        <v>10.1</v>
      </c>
    </row>
    <row r="582" spans="1:3" x14ac:dyDescent="0.2">
      <c r="B582" s="5">
        <v>11</v>
      </c>
      <c r="C582" s="5">
        <v>10.7</v>
      </c>
    </row>
    <row r="583" spans="1:3" x14ac:dyDescent="0.2">
      <c r="B583" s="5">
        <v>12</v>
      </c>
      <c r="C583" s="5">
        <v>11.8</v>
      </c>
    </row>
    <row r="584" spans="1:3" x14ac:dyDescent="0.2">
      <c r="B584" s="5">
        <v>13</v>
      </c>
      <c r="C584" s="5">
        <v>12.4</v>
      </c>
    </row>
    <row r="586" spans="1:3" x14ac:dyDescent="0.2">
      <c r="A586" s="3" t="s">
        <v>30</v>
      </c>
      <c r="B586" s="5">
        <v>5</v>
      </c>
      <c r="C586" s="5">
        <v>62</v>
      </c>
    </row>
    <row r="587" spans="1:3" x14ac:dyDescent="0.2">
      <c r="B587" s="5">
        <v>6</v>
      </c>
      <c r="C587" s="5">
        <v>64</v>
      </c>
    </row>
    <row r="588" spans="1:3" x14ac:dyDescent="0.2">
      <c r="B588" s="5">
        <v>7</v>
      </c>
      <c r="C588" s="5">
        <v>66</v>
      </c>
    </row>
    <row r="589" spans="1:3" x14ac:dyDescent="0.2">
      <c r="B589" s="5">
        <v>8</v>
      </c>
      <c r="C589" s="5">
        <v>67</v>
      </c>
    </row>
    <row r="590" spans="1:3" x14ac:dyDescent="0.2">
      <c r="B590" s="5">
        <v>9</v>
      </c>
      <c r="C590" s="5">
        <v>70</v>
      </c>
    </row>
    <row r="591" spans="1:3" x14ac:dyDescent="0.2">
      <c r="B591" s="5">
        <v>10</v>
      </c>
      <c r="C591" s="5">
        <v>72</v>
      </c>
    </row>
    <row r="592" spans="1:3" x14ac:dyDescent="0.2">
      <c r="B592" s="5">
        <v>11</v>
      </c>
      <c r="C592" s="5">
        <v>73</v>
      </c>
    </row>
    <row r="593" spans="1:3" x14ac:dyDescent="0.2">
      <c r="B593" s="5">
        <v>12</v>
      </c>
      <c r="C593" s="5">
        <v>74</v>
      </c>
    </row>
    <row r="594" spans="1:3" x14ac:dyDescent="0.2">
      <c r="B594" s="5">
        <v>13</v>
      </c>
      <c r="C594" s="5">
        <v>76</v>
      </c>
    </row>
    <row r="595" spans="1:3" x14ac:dyDescent="0.2">
      <c r="B595" s="5">
        <v>14</v>
      </c>
      <c r="C595" s="5">
        <v>77</v>
      </c>
    </row>
    <row r="596" spans="1:3" x14ac:dyDescent="0.2">
      <c r="B596" s="5">
        <v>15</v>
      </c>
      <c r="C596" s="5">
        <v>78</v>
      </c>
    </row>
    <row r="597" spans="1:3" x14ac:dyDescent="0.2">
      <c r="B597" s="5">
        <v>16</v>
      </c>
      <c r="C597" s="5">
        <v>79</v>
      </c>
    </row>
    <row r="598" spans="1:3" x14ac:dyDescent="0.2">
      <c r="B598" s="5">
        <v>17</v>
      </c>
      <c r="C598" s="5">
        <v>80</v>
      </c>
    </row>
    <row r="599" spans="1:3" x14ac:dyDescent="0.2">
      <c r="B599" s="5">
        <v>18</v>
      </c>
      <c r="C599" s="5">
        <v>82</v>
      </c>
    </row>
    <row r="600" spans="1:3" x14ac:dyDescent="0.2">
      <c r="B600" s="5">
        <v>19</v>
      </c>
      <c r="C600" s="5">
        <v>83</v>
      </c>
    </row>
    <row r="601" spans="1:3" x14ac:dyDescent="0.2">
      <c r="B601" s="5">
        <v>20</v>
      </c>
      <c r="C601" s="5">
        <v>84</v>
      </c>
    </row>
    <row r="602" spans="1:3" x14ac:dyDescent="0.2">
      <c r="B602" s="5">
        <v>21</v>
      </c>
      <c r="C602" s="5">
        <v>85</v>
      </c>
    </row>
    <row r="603" spans="1:3" x14ac:dyDescent="0.2">
      <c r="B603" s="5">
        <v>22</v>
      </c>
      <c r="C603" s="5">
        <v>87</v>
      </c>
    </row>
    <row r="604" spans="1:3" x14ac:dyDescent="0.2">
      <c r="B604" s="5">
        <v>23</v>
      </c>
      <c r="C604" s="5">
        <v>89</v>
      </c>
    </row>
    <row r="605" spans="1:3" x14ac:dyDescent="0.2">
      <c r="B605" s="5">
        <v>24</v>
      </c>
      <c r="C605" s="5">
        <v>90</v>
      </c>
    </row>
    <row r="606" spans="1:3" x14ac:dyDescent="0.2">
      <c r="B606" s="5">
        <v>25</v>
      </c>
      <c r="C606" s="5">
        <v>91</v>
      </c>
    </row>
    <row r="608" spans="1:3" x14ac:dyDescent="0.2">
      <c r="A608" s="1" t="s">
        <v>31</v>
      </c>
      <c r="B608" s="5">
        <v>5</v>
      </c>
      <c r="C608" s="5">
        <v>26.5</v>
      </c>
    </row>
    <row r="609" spans="2:3" x14ac:dyDescent="0.2">
      <c r="B609" s="5">
        <v>6</v>
      </c>
      <c r="C609" s="5">
        <v>29.2</v>
      </c>
    </row>
    <row r="610" spans="2:3" x14ac:dyDescent="0.2">
      <c r="B610" s="5">
        <v>7</v>
      </c>
      <c r="C610" s="5">
        <v>30.5</v>
      </c>
    </row>
    <row r="611" spans="2:3" x14ac:dyDescent="0.2">
      <c r="B611" s="5">
        <v>8</v>
      </c>
      <c r="C611" s="5">
        <v>33.799999999999997</v>
      </c>
    </row>
    <row r="612" spans="2:3" x14ac:dyDescent="0.2">
      <c r="B612" s="5">
        <v>9</v>
      </c>
      <c r="C612" s="5">
        <v>36.5</v>
      </c>
    </row>
    <row r="613" spans="2:3" x14ac:dyDescent="0.2">
      <c r="B613" s="5">
        <v>10</v>
      </c>
      <c r="C613" s="5">
        <v>37.6</v>
      </c>
    </row>
    <row r="614" spans="2:3" x14ac:dyDescent="0.2">
      <c r="B614" s="5">
        <v>11</v>
      </c>
      <c r="C614" s="5">
        <v>39.1</v>
      </c>
    </row>
    <row r="615" spans="2:3" x14ac:dyDescent="0.2">
      <c r="B615" s="5">
        <v>12</v>
      </c>
      <c r="C615" s="5">
        <v>41</v>
      </c>
    </row>
    <row r="616" spans="2:3" x14ac:dyDescent="0.2">
      <c r="B616" s="5">
        <v>13</v>
      </c>
      <c r="C616" s="5">
        <v>43.7</v>
      </c>
    </row>
    <row r="617" spans="2:3" x14ac:dyDescent="0.2">
      <c r="B617" s="5">
        <v>14</v>
      </c>
      <c r="C617" s="5">
        <v>45.6</v>
      </c>
    </row>
    <row r="618" spans="2:3" x14ac:dyDescent="0.2">
      <c r="B618" s="5">
        <v>15</v>
      </c>
      <c r="C618" s="5">
        <v>47.7</v>
      </c>
    </row>
    <row r="619" spans="2:3" x14ac:dyDescent="0.2">
      <c r="B619" s="5">
        <v>16</v>
      </c>
      <c r="C619" s="5">
        <v>49.7</v>
      </c>
    </row>
    <row r="620" spans="2:3" x14ac:dyDescent="0.2">
      <c r="B620" s="5">
        <v>17</v>
      </c>
      <c r="C620" s="5">
        <v>52.4</v>
      </c>
    </row>
    <row r="621" spans="2:3" x14ac:dyDescent="0.2">
      <c r="B621" s="5">
        <v>18</v>
      </c>
      <c r="C621" s="5">
        <v>53.7</v>
      </c>
    </row>
    <row r="622" spans="2:3" x14ac:dyDescent="0.2">
      <c r="B622" s="5">
        <v>19</v>
      </c>
      <c r="C622" s="5">
        <v>55.7</v>
      </c>
    </row>
    <row r="623" spans="2:3" x14ac:dyDescent="0.2">
      <c r="B623" s="5">
        <v>20</v>
      </c>
      <c r="C623" s="5">
        <v>57</v>
      </c>
    </row>
    <row r="625" spans="1:3" x14ac:dyDescent="0.2">
      <c r="A625" s="1" t="s">
        <v>32</v>
      </c>
      <c r="B625" s="5">
        <v>2</v>
      </c>
      <c r="C625" s="5">
        <v>12.8</v>
      </c>
    </row>
    <row r="626" spans="1:3" x14ac:dyDescent="0.2">
      <c r="B626" s="5">
        <v>4</v>
      </c>
      <c r="C626" s="5">
        <v>14.6</v>
      </c>
    </row>
    <row r="627" spans="1:3" x14ac:dyDescent="0.2">
      <c r="B627" s="5">
        <v>4</v>
      </c>
      <c r="C627" s="5">
        <v>16.399999999999999</v>
      </c>
    </row>
    <row r="628" spans="1:3" x14ac:dyDescent="0.2">
      <c r="B628" s="5">
        <v>5</v>
      </c>
      <c r="C628" s="5">
        <v>19.2</v>
      </c>
    </row>
    <row r="629" spans="1:3" x14ac:dyDescent="0.2">
      <c r="B629" s="5">
        <v>5</v>
      </c>
      <c r="C629" s="5">
        <v>24</v>
      </c>
    </row>
    <row r="630" spans="1:3" x14ac:dyDescent="0.2">
      <c r="B630" s="5">
        <v>7</v>
      </c>
      <c r="C630" s="5">
        <v>25.2</v>
      </c>
    </row>
    <row r="631" spans="1:3" x14ac:dyDescent="0.2">
      <c r="B631" s="5">
        <v>7</v>
      </c>
      <c r="C631" s="5">
        <v>25.8</v>
      </c>
    </row>
    <row r="632" spans="1:3" x14ac:dyDescent="0.2">
      <c r="B632" s="5">
        <v>7</v>
      </c>
      <c r="C632" s="5">
        <v>27.9</v>
      </c>
    </row>
    <row r="633" spans="1:3" x14ac:dyDescent="0.2">
      <c r="B633" s="5">
        <v>8</v>
      </c>
      <c r="C633" s="5">
        <v>26</v>
      </c>
    </row>
    <row r="634" spans="1:3" x14ac:dyDescent="0.2">
      <c r="B634" s="5">
        <v>8</v>
      </c>
      <c r="C634" s="5">
        <v>30.3</v>
      </c>
    </row>
    <row r="635" spans="1:3" x14ac:dyDescent="0.2">
      <c r="B635" s="5">
        <v>9</v>
      </c>
      <c r="C635" s="5">
        <v>27.4</v>
      </c>
    </row>
    <row r="636" spans="1:3" x14ac:dyDescent="0.2">
      <c r="B636" s="5">
        <v>9</v>
      </c>
      <c r="C636" s="5">
        <v>27.9</v>
      </c>
    </row>
    <row r="637" spans="1:3" x14ac:dyDescent="0.2">
      <c r="B637" s="5">
        <v>9</v>
      </c>
      <c r="C637" s="5">
        <v>28.5</v>
      </c>
    </row>
    <row r="638" spans="1:3" x14ac:dyDescent="0.2">
      <c r="B638" s="5">
        <v>12</v>
      </c>
      <c r="C638" s="5">
        <v>33.200000000000003</v>
      </c>
    </row>
    <row r="639" spans="1:3" x14ac:dyDescent="0.2">
      <c r="B639" s="5">
        <v>12</v>
      </c>
      <c r="C639" s="5">
        <v>36</v>
      </c>
    </row>
    <row r="640" spans="1:3" x14ac:dyDescent="0.2">
      <c r="B640" s="5">
        <v>13</v>
      </c>
      <c r="C640" s="5">
        <v>40.9</v>
      </c>
    </row>
    <row r="641" spans="2:3" x14ac:dyDescent="0.2">
      <c r="B641" s="5">
        <v>15</v>
      </c>
      <c r="C641" s="5">
        <v>44.5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S6</vt:lpstr>
      <vt:lpstr>'S6'!Print_Area</vt:lpstr>
      <vt:lpstr>'S6'!sup_table_6_alldinodatatables</vt:lpstr>
    </vt:vector>
  </TitlesOfParts>
  <Company>IV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Freeman</dc:creator>
  <cp:lastModifiedBy>Dan Freeman</cp:lastModifiedBy>
  <dcterms:created xsi:type="dcterms:W3CDTF">2013-05-01T21:36:35Z</dcterms:created>
  <dcterms:modified xsi:type="dcterms:W3CDTF">2013-05-05T03:57:51Z</dcterms:modified>
</cp:coreProperties>
</file>